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ookup" sheetId="2" state="visible" r:id="rId2"/>
    <sheet name="Source Detail" sheetId="3" state="visible" r:id="rId3"/>
  </sheets>
  <definedNames>
    <definedName name="_xlnm._FilterDatabase" localSheetId="2" hidden="1">'Source Detail'!$A$1:$G$259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13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95959"/>
      <sz val="10"/>
    </font>
    <font>
      <b val="1"/>
      <color rgb="00FFFFFF"/>
      <sz val="10"/>
    </font>
    <font>
      <b val="1"/>
      <sz val="10"/>
    </font>
    <font>
      <b val="1"/>
      <color rgb="001F3A5F"/>
      <sz val="18"/>
    </font>
    <font>
      <b val="1"/>
      <color rgb="00FFFFFF"/>
      <sz val="11"/>
    </font>
    <font>
      <b val="1"/>
      <sz val="11"/>
    </font>
    <font>
      <b val="1"/>
      <color rgb="001F3A5F"/>
      <sz val="12"/>
    </font>
    <font>
      <b val="1"/>
      <color rgb="001F3A5F"/>
      <sz val="20"/>
    </font>
    <font>
      <b val="1"/>
      <color rgb="00595959"/>
      <sz val="12"/>
    </font>
    <font>
      <color rgb="00595959"/>
      <sz val="10"/>
    </font>
    <font>
      <i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2F5C8F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2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8" fillId="0" borderId="0" applyAlignment="1" pivotButton="0" quotePrefix="0" xfId="0">
      <alignment horizontal="right"/>
    </xf>
    <xf numFmtId="0" fontId="9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1" customWidth="1" min="17" max="17"/>
    <col width="42" customWidth="1" min="18" max="18"/>
  </cols>
  <sheetData>
    <row r="1">
      <c r="A1" s="1" t="inlineStr">
        <is>
          <t>USDA Cattle Auction — 2025 Annual Average Prices by State</t>
        </is>
      </c>
    </row>
    <row r="2">
      <c r="A2" s="2" t="inlineStr">
        <is>
          <t>Head-count-weighted averages from USDA Market News weekly auction summaries, Jan–Dec 2025. $/cwt = per hundredweight; $/head = per animal. Blank = category not reported by that state.</t>
        </is>
      </c>
    </row>
    <row r="4" ht="44" customHeight="1">
      <c r="A4" s="3" t="inlineStr">
        <is>
          <t>State</t>
        </is>
      </c>
      <c r="B4" s="3" t="inlineStr">
        <is>
          <t>Overall Feeder</t>
        </is>
      </c>
      <c r="C4" s="3" t="inlineStr">
        <is>
          <t>Feeder Steers</t>
        </is>
      </c>
      <c r="D4" s="3" t="inlineStr">
        <is>
          <t>Feeder Heifers</t>
        </is>
      </c>
      <c r="E4" s="3" t="inlineStr">
        <is>
          <t>Feeder Bulls</t>
        </is>
      </c>
      <c r="F4" s="3" t="inlineStr">
        <is>
          <t>Feeder Cows</t>
        </is>
      </c>
      <c r="G4" s="3" t="inlineStr">
        <is>
          <t>Stock Cows ($/cwt)</t>
        </is>
      </c>
      <c r="H4" s="3" t="inlineStr">
        <is>
          <t>Stock Cows ($/head)</t>
        </is>
      </c>
      <c r="I4" s="3" t="inlineStr">
        <is>
          <t>Bred Cows ($/head)</t>
        </is>
      </c>
      <c r="J4" s="3" t="inlineStr">
        <is>
          <t>Bred Cows ($/cwt)</t>
        </is>
      </c>
      <c r="K4" s="3" t="inlineStr">
        <is>
          <t>Bred Heifers ($/head)</t>
        </is>
      </c>
      <c r="L4" s="3" t="inlineStr">
        <is>
          <t>Bred Heifers ($/cwt)</t>
        </is>
      </c>
      <c r="M4" s="3" t="inlineStr">
        <is>
          <t>Cow-Calf Pairs ($/head)</t>
        </is>
      </c>
      <c r="N4" s="3" t="inlineStr">
        <is>
          <t>Heifer Pairs ($/head)</t>
        </is>
      </c>
      <c r="O4" s="3" t="inlineStr">
        <is>
          <t>Replacement Bulls ($/head)</t>
        </is>
      </c>
      <c r="P4" s="3" t="inlineStr">
        <is>
          <t>Replacement Bulls ($/cwt)</t>
        </is>
      </c>
      <c r="Q4" s="3" t="inlineStr">
        <is>
          <t>Data weeks</t>
        </is>
      </c>
      <c r="R4" s="3" t="inlineStr">
        <is>
          <t>Coverage note</t>
        </is>
      </c>
    </row>
    <row r="5">
      <c r="A5" s="4" t="inlineStr">
        <is>
          <t>Alabama</t>
        </is>
      </c>
      <c r="B5" s="5" t="n">
        <v>350.68</v>
      </c>
      <c r="C5" s="6" t="n">
        <v>364.58</v>
      </c>
      <c r="D5" s="5" t="n">
        <v>334.42</v>
      </c>
      <c r="E5" s="6" t="n">
        <v>361.63</v>
      </c>
      <c r="F5" s="7" t="n"/>
      <c r="G5" s="8" t="n"/>
      <c r="H5" s="9" t="n">
        <v>1504.21</v>
      </c>
      <c r="I5" s="10" t="n">
        <v>2231.6</v>
      </c>
      <c r="J5" s="7" t="n"/>
      <c r="K5" s="10" t="n">
        <v>3255.27</v>
      </c>
      <c r="L5" s="7" t="n"/>
      <c r="M5" s="10" t="n">
        <v>2856.7</v>
      </c>
      <c r="N5" s="7" t="n"/>
      <c r="O5" s="8" t="n"/>
      <c r="P5" s="7" t="n"/>
      <c r="Q5" s="11" t="inlineStr">
        <is>
          <t>24–48</t>
        </is>
      </c>
      <c r="R5" s="12" t="inlineStr"/>
    </row>
    <row r="6">
      <c r="A6" s="4" t="inlineStr">
        <is>
          <t>Arkansas</t>
        </is>
      </c>
      <c r="B6" s="5" t="n">
        <v>356.53</v>
      </c>
      <c r="C6" s="6" t="n">
        <v>373.79</v>
      </c>
      <c r="D6" s="5" t="n">
        <v>339.17</v>
      </c>
      <c r="E6" s="6" t="n">
        <v>357.74</v>
      </c>
      <c r="F6" s="7" t="n"/>
      <c r="G6" s="6" t="n">
        <v>181.24</v>
      </c>
      <c r="H6" s="9" t="n">
        <v>2072.95</v>
      </c>
      <c r="I6" s="10" t="n">
        <v>2357.32</v>
      </c>
      <c r="J6" s="5" t="n">
        <v>158.76</v>
      </c>
      <c r="K6" s="10" t="n">
        <v>2454.93</v>
      </c>
      <c r="L6" s="5" t="n">
        <v>276.21</v>
      </c>
      <c r="M6" s="10" t="n">
        <v>2913.87</v>
      </c>
      <c r="N6" s="9" t="n">
        <v>2769.54</v>
      </c>
      <c r="O6" s="10" t="n">
        <v>3158.51</v>
      </c>
      <c r="P6" s="5" t="n">
        <v>328.37</v>
      </c>
      <c r="Q6" s="11" t="inlineStr">
        <is>
          <t>11–49</t>
        </is>
      </c>
      <c r="R6" s="12" t="inlineStr"/>
    </row>
    <row r="7">
      <c r="A7" s="13" t="inlineStr">
        <is>
          <t>Colorado</t>
        </is>
      </c>
      <c r="B7" s="5" t="n">
        <v>354.09</v>
      </c>
      <c r="C7" s="6" t="n">
        <v>369.13</v>
      </c>
      <c r="D7" s="5" t="n">
        <v>335.6</v>
      </c>
      <c r="E7" s="6" t="n">
        <v>344.66</v>
      </c>
      <c r="F7" s="7" t="n"/>
      <c r="G7" s="6" t="n">
        <v>192.92</v>
      </c>
      <c r="H7" s="7" t="n"/>
      <c r="I7" s="10" t="n">
        <v>2415.86</v>
      </c>
      <c r="J7" s="7" t="n"/>
      <c r="K7" s="10" t="n">
        <v>2715.72</v>
      </c>
      <c r="L7" s="7" t="n"/>
      <c r="M7" s="10" t="n">
        <v>3230.97</v>
      </c>
      <c r="N7" s="9" t="n">
        <v>3659.04</v>
      </c>
      <c r="O7" s="8" t="n"/>
      <c r="P7" s="7" t="n"/>
      <c r="Q7" s="14" t="inlineStr">
        <is>
          <t>10–39</t>
        </is>
      </c>
      <c r="R7" s="15" t="inlineStr">
        <is>
          <t>Partial year (Overall = 39 wks) — interpret with caution</t>
        </is>
      </c>
    </row>
    <row r="8">
      <c r="A8" s="4" t="inlineStr">
        <is>
          <t>Florida</t>
        </is>
      </c>
      <c r="B8" s="5" t="n">
        <v>406.9</v>
      </c>
      <c r="C8" s="6" t="n">
        <v>430.38</v>
      </c>
      <c r="D8" s="5" t="n">
        <v>376.73</v>
      </c>
      <c r="E8" s="6" t="n">
        <v>431.79</v>
      </c>
      <c r="F8" s="7" t="n"/>
      <c r="G8" s="6" t="n">
        <v>196.97</v>
      </c>
      <c r="H8" s="7" t="n"/>
      <c r="I8" s="8" t="n"/>
      <c r="J8" s="5" t="n">
        <v>195.03</v>
      </c>
      <c r="K8" s="8" t="n"/>
      <c r="L8" s="5" t="n">
        <v>381.42</v>
      </c>
      <c r="M8" s="10" t="n">
        <v>2633.55</v>
      </c>
      <c r="N8" s="7" t="n"/>
      <c r="O8" s="8" t="n"/>
      <c r="P8" s="7" t="n"/>
      <c r="Q8" s="11" t="inlineStr">
        <is>
          <t>1–48</t>
        </is>
      </c>
      <c r="R8" s="12" t="inlineStr"/>
    </row>
    <row r="9">
      <c r="A9" s="4" t="inlineStr">
        <is>
          <t>Georgia</t>
        </is>
      </c>
      <c r="B9" s="5" t="n">
        <v>350.3</v>
      </c>
      <c r="C9" s="6" t="n">
        <v>368.79</v>
      </c>
      <c r="D9" s="5" t="n">
        <v>334.11</v>
      </c>
      <c r="E9" s="6" t="n">
        <v>357.62</v>
      </c>
      <c r="F9" s="7" t="n"/>
      <c r="G9" s="6" t="n">
        <v>249</v>
      </c>
      <c r="H9" s="7" t="n"/>
      <c r="I9" s="10" t="n">
        <v>2077.03</v>
      </c>
      <c r="J9" s="5" t="n">
        <v>179.22</v>
      </c>
      <c r="K9" s="10" t="n">
        <v>2430.66</v>
      </c>
      <c r="L9" s="5" t="n">
        <v>227.3</v>
      </c>
      <c r="M9" s="10" t="n">
        <v>2645.69</v>
      </c>
      <c r="N9" s="9" t="n">
        <v>3700</v>
      </c>
      <c r="O9" s="8" t="n"/>
      <c r="P9" s="7" t="n"/>
      <c r="Q9" s="11" t="inlineStr">
        <is>
          <t>1–48</t>
        </is>
      </c>
      <c r="R9" s="12" t="inlineStr"/>
    </row>
    <row r="10">
      <c r="A10" s="13" t="inlineStr">
        <is>
          <t>Illinois</t>
        </is>
      </c>
      <c r="B10" s="5" t="n">
        <v>333.87</v>
      </c>
      <c r="C10" s="6" t="n">
        <v>340.73</v>
      </c>
      <c r="D10" s="5" t="n">
        <v>323.65</v>
      </c>
      <c r="E10" s="6" t="n">
        <v>310.58</v>
      </c>
      <c r="F10" s="7" t="n"/>
      <c r="G10" s="6" t="n">
        <v>225.72</v>
      </c>
      <c r="H10" s="9" t="n">
        <v>2410.07</v>
      </c>
      <c r="I10" s="10" t="n">
        <v>2683.72</v>
      </c>
      <c r="J10" s="5" t="n">
        <v>143.59</v>
      </c>
      <c r="K10" s="10" t="n">
        <v>3485.72</v>
      </c>
      <c r="L10" s="7" t="n"/>
      <c r="M10" s="10" t="n">
        <v>3593.43</v>
      </c>
      <c r="N10" s="9" t="n">
        <v>3973.06</v>
      </c>
      <c r="O10" s="10" t="n">
        <v>4118.07</v>
      </c>
      <c r="P10" s="7" t="n"/>
      <c r="Q10" s="14" t="inlineStr">
        <is>
          <t>1–27</t>
        </is>
      </c>
      <c r="R10" s="15" t="inlineStr">
        <is>
          <t>Partial year (Overall = 27 wks) — interpret with caution</t>
        </is>
      </c>
    </row>
    <row r="11">
      <c r="A11" s="4" t="inlineStr">
        <is>
          <t>Iowa</t>
        </is>
      </c>
      <c r="B11" s="5" t="n">
        <v>338.56</v>
      </c>
      <c r="C11" s="6" t="n">
        <v>346.58</v>
      </c>
      <c r="D11" s="5" t="n">
        <v>326.93</v>
      </c>
      <c r="E11" s="6" t="n">
        <v>353.25</v>
      </c>
      <c r="F11" s="7" t="n"/>
      <c r="G11" s="8" t="n"/>
      <c r="H11" s="7" t="n"/>
      <c r="I11" s="8" t="n"/>
      <c r="J11" s="7" t="n"/>
      <c r="K11" s="10" t="n">
        <v>3222.5</v>
      </c>
      <c r="L11" s="7" t="n"/>
      <c r="M11" s="8" t="n"/>
      <c r="N11" s="7" t="n"/>
      <c r="O11" s="8" t="n"/>
      <c r="P11" s="7" t="n"/>
      <c r="Q11" s="11" t="inlineStr">
        <is>
          <t>2–51</t>
        </is>
      </c>
      <c r="R11" s="12" t="inlineStr"/>
    </row>
    <row r="12">
      <c r="A12" s="4" t="inlineStr">
        <is>
          <t>Kansas</t>
        </is>
      </c>
      <c r="B12" s="5" t="n">
        <v>327.71</v>
      </c>
      <c r="C12" s="6" t="n">
        <v>334.15</v>
      </c>
      <c r="D12" s="5" t="n">
        <v>317.55</v>
      </c>
      <c r="E12" s="6" t="n">
        <v>351.9</v>
      </c>
      <c r="F12" s="7" t="n"/>
      <c r="G12" s="6" t="n">
        <v>214.18</v>
      </c>
      <c r="H12" s="9" t="n">
        <v>2460.65</v>
      </c>
      <c r="I12" s="10" t="n">
        <v>3162.32</v>
      </c>
      <c r="J12" s="5" t="n">
        <v>174.13</v>
      </c>
      <c r="K12" s="10" t="n">
        <v>3530.59</v>
      </c>
      <c r="L12" s="5" t="n">
        <v>278</v>
      </c>
      <c r="M12" s="10" t="n">
        <v>3715.95</v>
      </c>
      <c r="N12" s="9" t="n">
        <v>4125.51</v>
      </c>
      <c r="O12" s="10" t="n">
        <v>4348.17</v>
      </c>
      <c r="P12" s="7" t="n"/>
      <c r="Q12" s="11" t="inlineStr">
        <is>
          <t>1–49</t>
        </is>
      </c>
      <c r="R12" s="12" t="inlineStr"/>
    </row>
    <row r="13">
      <c r="A13" s="4" t="inlineStr">
        <is>
          <t>Kentucky</t>
        </is>
      </c>
      <c r="B13" s="5" t="n">
        <v>331.32</v>
      </c>
      <c r="C13" s="6" t="n">
        <v>337.27</v>
      </c>
      <c r="D13" s="5" t="n">
        <v>320.69</v>
      </c>
      <c r="E13" s="6" t="n">
        <v>343.14</v>
      </c>
      <c r="F13" s="7" t="n"/>
      <c r="G13" s="6" t="n">
        <v>179.7</v>
      </c>
      <c r="H13" s="9" t="n">
        <v>1756.5</v>
      </c>
      <c r="I13" s="10" t="n">
        <v>2230.31</v>
      </c>
      <c r="J13" s="7" t="n"/>
      <c r="K13" s="10" t="n">
        <v>2203.39</v>
      </c>
      <c r="L13" s="7" t="n"/>
      <c r="M13" s="10" t="n">
        <v>2975.31</v>
      </c>
      <c r="N13" s="9" t="n">
        <v>2780.53</v>
      </c>
      <c r="O13" s="10" t="n">
        <v>2728.77</v>
      </c>
      <c r="P13" s="5" t="n">
        <v>217.94</v>
      </c>
      <c r="Q13" s="11" t="inlineStr">
        <is>
          <t>14–52</t>
        </is>
      </c>
      <c r="R13" s="12" t="inlineStr"/>
    </row>
    <row r="14">
      <c r="A14" s="4" t="inlineStr">
        <is>
          <t>Mississippi</t>
        </is>
      </c>
      <c r="B14" s="5" t="n">
        <v>350.92</v>
      </c>
      <c r="C14" s="6" t="n">
        <v>364.17</v>
      </c>
      <c r="D14" s="5" t="n">
        <v>333.49</v>
      </c>
      <c r="E14" s="6" t="n">
        <v>360.26</v>
      </c>
      <c r="F14" s="5" t="n">
        <v>345</v>
      </c>
      <c r="G14" s="6" t="n">
        <v>165.16</v>
      </c>
      <c r="H14" s="9" t="n">
        <v>1944.72</v>
      </c>
      <c r="I14" s="10" t="n">
        <v>2380.12</v>
      </c>
      <c r="J14" s="5" t="n">
        <v>169.93</v>
      </c>
      <c r="K14" s="10" t="n">
        <v>2336.47</v>
      </c>
      <c r="L14" s="5" t="n">
        <v>230.42</v>
      </c>
      <c r="M14" s="10" t="n">
        <v>2934.83</v>
      </c>
      <c r="N14" s="9" t="n">
        <v>3028.92</v>
      </c>
      <c r="O14" s="10" t="n">
        <v>2913.98</v>
      </c>
      <c r="P14" s="5" t="n">
        <v>196.77</v>
      </c>
      <c r="Q14" s="11" t="inlineStr">
        <is>
          <t>1–48</t>
        </is>
      </c>
      <c r="R14" s="12" t="inlineStr"/>
    </row>
    <row r="15">
      <c r="A15" s="4" t="inlineStr">
        <is>
          <t>Missouri</t>
        </is>
      </c>
      <c r="B15" s="5" t="n">
        <v>346.9</v>
      </c>
      <c r="C15" s="6" t="n">
        <v>355.48</v>
      </c>
      <c r="D15" s="5" t="n">
        <v>334.59</v>
      </c>
      <c r="E15" s="6" t="n">
        <v>350.73</v>
      </c>
      <c r="F15" s="5" t="n">
        <v>384</v>
      </c>
      <c r="G15" s="6" t="n">
        <v>197.04</v>
      </c>
      <c r="H15" s="9" t="n">
        <v>2651.32</v>
      </c>
      <c r="I15" s="10" t="n">
        <v>2678.38</v>
      </c>
      <c r="J15" s="5" t="n">
        <v>164.63</v>
      </c>
      <c r="K15" s="10" t="n">
        <v>3285.82</v>
      </c>
      <c r="L15" s="5" t="n">
        <v>187.75</v>
      </c>
      <c r="M15" s="10" t="n">
        <v>3485.93</v>
      </c>
      <c r="N15" s="9" t="n">
        <v>4336.34</v>
      </c>
      <c r="O15" s="10" t="n">
        <v>3460.56</v>
      </c>
      <c r="P15" s="7" t="n"/>
      <c r="Q15" s="11" t="inlineStr">
        <is>
          <t>1–51</t>
        </is>
      </c>
      <c r="R15" s="12" t="inlineStr"/>
    </row>
    <row r="16">
      <c r="A16" s="4" t="inlineStr">
        <is>
          <t>Montana</t>
        </is>
      </c>
      <c r="B16" s="5" t="n">
        <v>384.92</v>
      </c>
      <c r="C16" s="6" t="n">
        <v>406.64</v>
      </c>
      <c r="D16" s="5" t="n">
        <v>364.49</v>
      </c>
      <c r="E16" s="6" t="n">
        <v>339.85</v>
      </c>
      <c r="F16" s="5" t="n">
        <v>480</v>
      </c>
      <c r="G16" s="6" t="n">
        <v>227.4</v>
      </c>
      <c r="H16" s="9" t="n">
        <v>2496.28</v>
      </c>
      <c r="I16" s="10" t="n">
        <v>3289.71</v>
      </c>
      <c r="J16" s="5" t="n">
        <v>189.58</v>
      </c>
      <c r="K16" s="10" t="n">
        <v>3852.67</v>
      </c>
      <c r="L16" s="5" t="n">
        <v>259.61</v>
      </c>
      <c r="M16" s="10" t="n">
        <v>3638.85</v>
      </c>
      <c r="N16" s="9" t="n">
        <v>4204.5</v>
      </c>
      <c r="O16" s="10" t="n">
        <v>3041.55</v>
      </c>
      <c r="P16" s="5" t="n">
        <v>213.77</v>
      </c>
      <c r="Q16" s="11" t="inlineStr">
        <is>
          <t>1–49</t>
        </is>
      </c>
      <c r="R16" s="12" t="inlineStr"/>
    </row>
    <row r="17">
      <c r="A17" s="4" t="inlineStr">
        <is>
          <t>Nebraska</t>
        </is>
      </c>
      <c r="B17" s="5" t="n">
        <v>358.83</v>
      </c>
      <c r="C17" s="6" t="n">
        <v>370.26</v>
      </c>
      <c r="D17" s="5" t="n">
        <v>341.24</v>
      </c>
      <c r="E17" s="6" t="n">
        <v>370.89</v>
      </c>
      <c r="F17" s="7" t="n"/>
      <c r="G17" s="8" t="n"/>
      <c r="H17" s="7" t="n"/>
      <c r="I17" s="10" t="n">
        <v>3236.05</v>
      </c>
      <c r="J17" s="7" t="n"/>
      <c r="K17" s="10" t="n">
        <v>4041.35</v>
      </c>
      <c r="L17" s="7" t="n"/>
      <c r="M17" s="10" t="n">
        <v>3685.85</v>
      </c>
      <c r="N17" s="9" t="n">
        <v>4237.44</v>
      </c>
      <c r="O17" s="8" t="n"/>
      <c r="P17" s="7" t="n"/>
      <c r="Q17" s="11" t="inlineStr">
        <is>
          <t>8–52</t>
        </is>
      </c>
      <c r="R17" s="12" t="inlineStr"/>
    </row>
    <row r="18">
      <c r="A18" s="13" t="inlineStr">
        <is>
          <t>New York</t>
        </is>
      </c>
      <c r="B18" s="5" t="n">
        <v>301.73</v>
      </c>
      <c r="C18" s="6" t="n">
        <v>312.65</v>
      </c>
      <c r="D18" s="5" t="n">
        <v>292.31</v>
      </c>
      <c r="E18" s="6" t="n">
        <v>292.52</v>
      </c>
      <c r="F18" s="7" t="n"/>
      <c r="G18" s="6" t="n">
        <v>140.06</v>
      </c>
      <c r="H18" s="9" t="n">
        <v>1698.68</v>
      </c>
      <c r="I18" s="10" t="n">
        <v>2012.02</v>
      </c>
      <c r="J18" s="7" t="n"/>
      <c r="K18" s="10" t="n">
        <v>2085.64</v>
      </c>
      <c r="L18" s="7" t="n"/>
      <c r="M18" s="10" t="n">
        <v>2674.85</v>
      </c>
      <c r="N18" s="7" t="n"/>
      <c r="O18" s="10" t="n">
        <v>2658.02</v>
      </c>
      <c r="P18" s="5" t="n">
        <v>177.4</v>
      </c>
      <c r="Q18" s="14" t="inlineStr">
        <is>
          <t>3–42</t>
        </is>
      </c>
      <c r="R18" s="15" t="inlineStr">
        <is>
          <t>Partial year (Overall = 42 wks) — interpret with caution</t>
        </is>
      </c>
    </row>
    <row r="19">
      <c r="A19" s="4" t="inlineStr">
        <is>
          <t>North Carolina</t>
        </is>
      </c>
      <c r="B19" s="5" t="n">
        <v>315.43</v>
      </c>
      <c r="C19" s="6" t="n">
        <v>340.67</v>
      </c>
      <c r="D19" s="5" t="n">
        <v>301.01</v>
      </c>
      <c r="E19" s="6" t="n">
        <v>318.1</v>
      </c>
      <c r="F19" s="7" t="n"/>
      <c r="G19" s="6" t="n">
        <v>184.35</v>
      </c>
      <c r="H19" s="9" t="n">
        <v>1230.68</v>
      </c>
      <c r="I19" s="10" t="n">
        <v>1908.59</v>
      </c>
      <c r="J19" s="5" t="n">
        <v>187.17</v>
      </c>
      <c r="K19" s="10" t="n">
        <v>1755.74</v>
      </c>
      <c r="L19" s="7" t="n"/>
      <c r="M19" s="10" t="n">
        <v>2446.86</v>
      </c>
      <c r="N19" s="7" t="n"/>
      <c r="O19" s="8" t="n"/>
      <c r="P19" s="7" t="n"/>
      <c r="Q19" s="11" t="inlineStr">
        <is>
          <t>6–48</t>
        </is>
      </c>
      <c r="R19" s="12" t="inlineStr"/>
    </row>
    <row r="20">
      <c r="A20" s="13" t="inlineStr">
        <is>
          <t>North Dakota</t>
        </is>
      </c>
      <c r="B20" s="5" t="n">
        <v>366.03</v>
      </c>
      <c r="C20" s="6" t="n">
        <v>378.84</v>
      </c>
      <c r="D20" s="5" t="n">
        <v>347</v>
      </c>
      <c r="E20" s="6" t="n">
        <v>337.21</v>
      </c>
      <c r="F20" s="7" t="n"/>
      <c r="G20" s="8" t="n"/>
      <c r="H20" s="7" t="n"/>
      <c r="I20" s="8" t="n"/>
      <c r="J20" s="7" t="n"/>
      <c r="K20" s="8" t="n"/>
      <c r="L20" s="7" t="n"/>
      <c r="M20" s="8" t="n"/>
      <c r="N20" s="7" t="n"/>
      <c r="O20" s="8" t="n"/>
      <c r="P20" s="7" t="n"/>
      <c r="Q20" s="14" t="inlineStr">
        <is>
          <t>19–29</t>
        </is>
      </c>
      <c r="R20" s="15" t="inlineStr">
        <is>
          <t>Partial year (Overall = 29 wks) — interpret with caution</t>
        </is>
      </c>
    </row>
    <row r="21">
      <c r="A21" s="4" t="inlineStr">
        <is>
          <t>Oklahoma</t>
        </is>
      </c>
      <c r="B21" s="5" t="n">
        <v>339.4</v>
      </c>
      <c r="C21" s="6" t="n">
        <v>341.45</v>
      </c>
      <c r="D21" s="5" t="n">
        <v>331.21</v>
      </c>
      <c r="E21" s="6" t="n">
        <v>380.09</v>
      </c>
      <c r="F21" s="5" t="n">
        <v>236</v>
      </c>
      <c r="G21" s="6" t="n">
        <v>185.33</v>
      </c>
      <c r="H21" s="9" t="n">
        <v>2303.35</v>
      </c>
      <c r="I21" s="10" t="n">
        <v>2441.81</v>
      </c>
      <c r="J21" s="5" t="n">
        <v>166.92</v>
      </c>
      <c r="K21" s="10" t="n">
        <v>2917.06</v>
      </c>
      <c r="L21" s="7" t="n"/>
      <c r="M21" s="10" t="n">
        <v>3096.97</v>
      </c>
      <c r="N21" s="9" t="n">
        <v>3422.93</v>
      </c>
      <c r="O21" s="10" t="n">
        <v>3703.56</v>
      </c>
      <c r="P21" s="5" t="n">
        <v>189.44</v>
      </c>
      <c r="Q21" s="11" t="inlineStr">
        <is>
          <t>1–50</t>
        </is>
      </c>
      <c r="R21" s="12" t="inlineStr"/>
    </row>
    <row r="22">
      <c r="A22" s="13" t="inlineStr">
        <is>
          <t>Pennsylvania</t>
        </is>
      </c>
      <c r="B22" s="5" t="n">
        <v>311.1</v>
      </c>
      <c r="C22" s="6" t="n">
        <v>326.4</v>
      </c>
      <c r="D22" s="5" t="n">
        <v>294.33</v>
      </c>
      <c r="E22" s="6" t="n">
        <v>317.22</v>
      </c>
      <c r="F22" s="7" t="n"/>
      <c r="G22" s="6" t="n">
        <v>158.93</v>
      </c>
      <c r="H22" s="7" t="n"/>
      <c r="I22" s="8" t="n"/>
      <c r="J22" s="7" t="n"/>
      <c r="K22" s="8" t="n"/>
      <c r="L22" s="7" t="n"/>
      <c r="M22" s="8" t="n"/>
      <c r="N22" s="7" t="n"/>
      <c r="O22" s="8" t="n"/>
      <c r="P22" s="7" t="n"/>
      <c r="Q22" s="14" t="inlineStr">
        <is>
          <t>2–18</t>
        </is>
      </c>
      <c r="R22" s="15" t="inlineStr">
        <is>
          <t>Partial year (Overall = 18 wks) — interpret with caution</t>
        </is>
      </c>
    </row>
    <row r="23">
      <c r="A23" s="4" t="inlineStr">
        <is>
          <t>South Carolina</t>
        </is>
      </c>
      <c r="B23" s="5" t="n">
        <v>337.12</v>
      </c>
      <c r="C23" s="6" t="n">
        <v>350.43</v>
      </c>
      <c r="D23" s="5" t="n">
        <v>317.54</v>
      </c>
      <c r="E23" s="6" t="n">
        <v>352.15</v>
      </c>
      <c r="F23" s="7" t="n"/>
      <c r="G23" s="6" t="n">
        <v>166.6</v>
      </c>
      <c r="H23" s="9" t="n">
        <v>1492.99</v>
      </c>
      <c r="I23" s="10" t="n">
        <v>1853.1</v>
      </c>
      <c r="J23" s="5" t="n">
        <v>154</v>
      </c>
      <c r="K23" s="10" t="n">
        <v>2245.35</v>
      </c>
      <c r="L23" s="5" t="n">
        <v>193.55</v>
      </c>
      <c r="M23" s="10" t="n">
        <v>2384.12</v>
      </c>
      <c r="N23" s="9" t="n">
        <v>2233.77</v>
      </c>
      <c r="O23" s="10" t="n">
        <v>2228.18</v>
      </c>
      <c r="P23" s="5" t="n">
        <v>181.03</v>
      </c>
      <c r="Q23" s="11" t="inlineStr">
        <is>
          <t>15–48</t>
        </is>
      </c>
      <c r="R23" s="12" t="inlineStr"/>
    </row>
    <row r="24">
      <c r="A24" s="4" t="inlineStr">
        <is>
          <t>South Dakota</t>
        </is>
      </c>
      <c r="B24" s="5" t="n">
        <v>349.67</v>
      </c>
      <c r="C24" s="6" t="n">
        <v>358.87</v>
      </c>
      <c r="D24" s="5" t="n">
        <v>336.01</v>
      </c>
      <c r="E24" s="6" t="n">
        <v>376.29</v>
      </c>
      <c r="F24" s="7" t="n"/>
      <c r="G24" s="8" t="n"/>
      <c r="H24" s="7" t="n"/>
      <c r="I24" s="8" t="n"/>
      <c r="J24" s="7" t="n"/>
      <c r="K24" s="8" t="n"/>
      <c r="L24" s="7" t="n"/>
      <c r="M24" s="8" t="n"/>
      <c r="N24" s="7" t="n"/>
      <c r="O24" s="8" t="n"/>
      <c r="P24" s="7" t="n"/>
      <c r="Q24" s="11" t="inlineStr">
        <is>
          <t>38–51</t>
        </is>
      </c>
      <c r="R24" s="12" t="inlineStr"/>
    </row>
    <row r="25">
      <c r="A25" s="4" t="inlineStr">
        <is>
          <t>Tennessee</t>
        </is>
      </c>
      <c r="B25" s="5" t="n">
        <v>333.41</v>
      </c>
      <c r="C25" s="6" t="n">
        <v>345.93</v>
      </c>
      <c r="D25" s="5" t="n">
        <v>321.28</v>
      </c>
      <c r="E25" s="6" t="n">
        <v>336.87</v>
      </c>
      <c r="F25" s="7" t="n"/>
      <c r="G25" s="8" t="n"/>
      <c r="H25" s="9" t="n">
        <v>1808.9</v>
      </c>
      <c r="I25" s="10" t="n">
        <v>2264.22</v>
      </c>
      <c r="J25" s="7" t="n"/>
      <c r="K25" s="10" t="n">
        <v>2141.59</v>
      </c>
      <c r="L25" s="7" t="n"/>
      <c r="M25" s="10" t="n">
        <v>2959.71</v>
      </c>
      <c r="N25" s="9" t="n">
        <v>3007.05</v>
      </c>
      <c r="O25" s="10" t="n">
        <v>2851.66</v>
      </c>
      <c r="P25" s="7" t="n"/>
      <c r="Q25" s="11" t="inlineStr">
        <is>
          <t>34–49</t>
        </is>
      </c>
      <c r="R25" s="12" t="inlineStr"/>
    </row>
    <row r="26">
      <c r="A26" s="4" t="inlineStr">
        <is>
          <t>Texas</t>
        </is>
      </c>
      <c r="B26" s="5" t="n">
        <v>328.36</v>
      </c>
      <c r="C26" s="6" t="n">
        <v>339.31</v>
      </c>
      <c r="D26" s="5" t="n">
        <v>314.61</v>
      </c>
      <c r="E26" s="6" t="n">
        <v>323.22</v>
      </c>
      <c r="F26" s="5" t="n">
        <v>90.04000000000001</v>
      </c>
      <c r="G26" s="6" t="n">
        <v>181.11</v>
      </c>
      <c r="H26" s="9" t="n">
        <v>2081.25</v>
      </c>
      <c r="I26" s="10" t="n">
        <v>2474.71</v>
      </c>
      <c r="J26" s="5" t="n">
        <v>157.99</v>
      </c>
      <c r="K26" s="10" t="n">
        <v>3144.27</v>
      </c>
      <c r="L26" s="7" t="n"/>
      <c r="M26" s="10" t="n">
        <v>3308.55</v>
      </c>
      <c r="N26" s="9" t="n">
        <v>2750</v>
      </c>
      <c r="O26" s="10" t="n">
        <v>3881.29</v>
      </c>
      <c r="P26" s="5" t="n">
        <v>209.5</v>
      </c>
      <c r="Q26" s="11" t="inlineStr">
        <is>
          <t>2–48</t>
        </is>
      </c>
      <c r="R26" s="12" t="inlineStr"/>
    </row>
    <row r="27">
      <c r="A27" s="4" t="inlineStr">
        <is>
          <t>Utah</t>
        </is>
      </c>
      <c r="B27" s="5" t="n">
        <v>378.97</v>
      </c>
      <c r="C27" s="6" t="n">
        <v>397.6</v>
      </c>
      <c r="D27" s="5" t="n">
        <v>357.96</v>
      </c>
      <c r="E27" s="6" t="n">
        <v>350.88</v>
      </c>
      <c r="F27" s="5" t="n">
        <v>334</v>
      </c>
      <c r="G27" s="6" t="n">
        <v>218.54</v>
      </c>
      <c r="H27" s="9" t="n">
        <v>3281.25</v>
      </c>
      <c r="I27" s="10" t="n">
        <v>2451.65</v>
      </c>
      <c r="J27" s="5" t="n">
        <v>185.22</v>
      </c>
      <c r="K27" s="10" t="n">
        <v>2710.35</v>
      </c>
      <c r="L27" s="5" t="n">
        <v>236.11</v>
      </c>
      <c r="M27" s="10" t="n">
        <v>2960.23</v>
      </c>
      <c r="N27" s="9" t="n">
        <v>2639</v>
      </c>
      <c r="O27" s="10" t="n">
        <v>3000</v>
      </c>
      <c r="P27" s="5" t="n">
        <v>210</v>
      </c>
      <c r="Q27" s="11" t="inlineStr">
        <is>
          <t>1–48</t>
        </is>
      </c>
      <c r="R27" s="12" t="inlineStr"/>
    </row>
    <row r="28">
      <c r="A28" s="4" t="inlineStr">
        <is>
          <t>Virginia</t>
        </is>
      </c>
      <c r="B28" s="5" t="n">
        <v>336.49</v>
      </c>
      <c r="C28" s="6" t="n">
        <v>350.67</v>
      </c>
      <c r="D28" s="5" t="n">
        <v>316.98</v>
      </c>
      <c r="E28" s="6" t="n">
        <v>351.68</v>
      </c>
      <c r="F28" s="7" t="n"/>
      <c r="G28" s="8" t="n"/>
      <c r="H28" s="7" t="n"/>
      <c r="I28" s="8" t="n"/>
      <c r="J28" s="7" t="n"/>
      <c r="K28" s="8" t="n"/>
      <c r="L28" s="7" t="n"/>
      <c r="M28" s="8" t="n"/>
      <c r="N28" s="7" t="n"/>
      <c r="O28" s="8" t="n"/>
      <c r="P28" s="7" t="n"/>
      <c r="Q28" s="11" t="inlineStr">
        <is>
          <t>51</t>
        </is>
      </c>
      <c r="R28" s="12" t="inlineStr"/>
    </row>
    <row r="29">
      <c r="A29" s="13" t="inlineStr">
        <is>
          <t>Wyoming</t>
        </is>
      </c>
      <c r="B29" s="5" t="n">
        <v>397.04</v>
      </c>
      <c r="C29" s="6" t="n">
        <v>414.41</v>
      </c>
      <c r="D29" s="5" t="n">
        <v>375.45</v>
      </c>
      <c r="E29" s="6" t="n">
        <v>343.37</v>
      </c>
      <c r="F29" s="7" t="n"/>
      <c r="G29" s="6" t="n">
        <v>226.47</v>
      </c>
      <c r="H29" s="7" t="n"/>
      <c r="I29" s="10" t="n">
        <v>3103.01</v>
      </c>
      <c r="J29" s="7" t="n"/>
      <c r="K29" s="10" t="n">
        <v>3831.66</v>
      </c>
      <c r="L29" s="7" t="n"/>
      <c r="M29" s="10" t="n">
        <v>3444.13</v>
      </c>
      <c r="N29" s="9" t="n">
        <v>3840.79</v>
      </c>
      <c r="O29" s="8" t="n"/>
      <c r="P29" s="7" t="n"/>
      <c r="Q29" s="14" t="inlineStr">
        <is>
          <t>3–43</t>
        </is>
      </c>
      <c r="R29" s="15" t="inlineStr">
        <is>
          <t>Partial year (Overall = 43 wks) — interpret with caution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0" customWidth="1" min="4" max="4"/>
    <col width="10" customWidth="1" min="5" max="5"/>
    <col width="6" customWidth="1" min="6" max="6"/>
    <col width="6" customWidth="1" min="7" max="7"/>
    <col width="10" customWidth="1" min="8" max="8"/>
  </cols>
  <sheetData>
    <row r="2">
      <c r="B2" s="16" t="inlineStr">
        <is>
          <t>Cattle Price Lookup</t>
        </is>
      </c>
    </row>
    <row r="3">
      <c r="B3" s="2" t="inlineStr">
        <is>
          <t>Pick a state and a category to see its 2025 head-weighted average.</t>
        </is>
      </c>
    </row>
    <row r="5">
      <c r="B5" s="17" t="inlineStr">
        <is>
          <t>State:</t>
        </is>
      </c>
      <c r="C5" s="18" t="inlineStr">
        <is>
          <t>Alabama</t>
        </is>
      </c>
      <c r="D5" s="19" t="n"/>
    </row>
    <row r="6">
      <c r="B6" s="17" t="inlineStr">
        <is>
          <t>Category:</t>
        </is>
      </c>
      <c r="C6" s="18" t="inlineStr">
        <is>
          <t>Overall Feeder</t>
        </is>
      </c>
      <c r="D6" s="19" t="n"/>
    </row>
    <row r="8" ht="32" customHeight="1">
      <c r="B8" s="20" t="inlineStr">
        <is>
          <t>Average price:</t>
        </is>
      </c>
      <c r="C8" s="21">
        <f>IFERROR(IF(INDEX(Data!$B$5:$P$29,MATCH($C$5,Data!$A$5:$A$29,0),MATCH($C$6,Data!$B$4:$P$4,0))=0,"— not reported —",INDEX(Data!$B$5:$P$29,MATCH($C$5,Data!$A$5:$A$29,0),MATCH($C$6,Data!$B$4:$P$4,0))),"— not reported —")</f>
        <v/>
      </c>
      <c r="D8" s="19" t="n"/>
      <c r="E8" s="22">
        <f>IF(ISNUMBER(SEARCH("head",$C$6)),"$/head",IF($C$6="","","$/cwt"))</f>
        <v/>
      </c>
    </row>
    <row r="10">
      <c r="B10" s="23" t="inlineStr">
        <is>
          <t>Weeks of data behind it:</t>
        </is>
      </c>
      <c r="C10" s="24">
        <f>IFERROR(IF(SUMIFS('Source Detail'!$G:$G,'Source Detail'!$A:$A,$C$5,'Source Detail'!$B:$B,$C$6)=0,"",SUMIFS('Source Detail'!$G:$G,'Source Detail'!$A:$A,$C$5,'Source Detail'!$B:$B,$C$6)),"")</f>
        <v/>
      </c>
    </row>
    <row r="11">
      <c r="B11" s="23" t="inlineStr">
        <is>
          <t>Head sold behind it:</t>
        </is>
      </c>
      <c r="C11" s="24">
        <f>IFERROR(IF(SUMIFS('Source Detail'!$E:$E,'Source Detail'!$A:$A,$C$5,'Source Detail'!$B:$B,$C$6)=0,"",TEXT(SUMIFS('Source Detail'!$E:$E,'Source Detail'!$A:$A,$C$5,'Source Detail'!$B:$B,$C$6),"#,##0")),"")</f>
        <v/>
      </c>
    </row>
    <row r="13">
      <c r="B13" s="25">
        <f>IF($C$10="","",IF($C$10&lt;45,"⚠ Partial-year data — this state did not report all 52 weeks; average may be seasonally skewed.",""))</f>
        <v/>
      </c>
    </row>
  </sheetData>
  <mergeCells count="4">
    <mergeCell ref="C8:D8"/>
    <mergeCell ref="B13:H13"/>
    <mergeCell ref="C6:D6"/>
    <mergeCell ref="C5:D5"/>
  </mergeCells>
  <dataValidations count="2">
    <dataValidation sqref="C5" showDropDown="0" showInputMessage="0" showErrorMessage="0" allowBlank="0" type="list">
      <formula1>Data!$A$5:$A$29</formula1>
    </dataValidation>
    <dataValidation sqref="C6" showDropDown="0" showInputMessage="0" showErrorMessage="0" allowBlank="0" type="list">
      <formula1>Data!$B$4:$P$4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" customWidth="1" min="3" max="3"/>
    <col width="12" customWidth="1" min="4" max="4"/>
    <col width="13" customWidth="1" min="5" max="5"/>
    <col width="15" customWidth="1" min="6" max="6"/>
    <col width="9" customWidth="1" min="7" max="7"/>
  </cols>
  <sheetData>
    <row r="1">
      <c r="A1" s="3" t="inlineStr">
        <is>
          <t>State</t>
        </is>
      </c>
      <c r="B1" s="3" t="inlineStr">
        <is>
          <t>Category</t>
        </is>
      </c>
      <c r="C1" s="3" t="inlineStr">
        <is>
          <t>Unit</t>
        </is>
      </c>
      <c r="D1" s="3" t="inlineStr">
        <is>
          <t>Avg Price</t>
        </is>
      </c>
      <c r="E1" s="3" t="inlineStr">
        <is>
          <t>Total Head</t>
        </is>
      </c>
      <c r="F1" s="3" t="inlineStr">
        <is>
          <t># Observations</t>
        </is>
      </c>
      <c r="G1" s="3" t="inlineStr">
        <is>
          <t># Weeks</t>
        </is>
      </c>
    </row>
    <row r="2">
      <c r="A2" s="12" t="inlineStr">
        <is>
          <t>Alabama</t>
        </is>
      </c>
      <c r="B2" s="12" t="inlineStr">
        <is>
          <t>Overall Feeder</t>
        </is>
      </c>
      <c r="C2" s="11" t="inlineStr">
        <is>
          <t>$/cwt</t>
        </is>
      </c>
      <c r="D2" s="26" t="n">
        <v>350.68</v>
      </c>
      <c r="E2" s="27" t="n">
        <v>183368</v>
      </c>
      <c r="F2" s="11" t="n">
        <v>5646</v>
      </c>
      <c r="G2" s="11" t="n">
        <v>48</v>
      </c>
    </row>
    <row r="3">
      <c r="A3" s="12" t="inlineStr">
        <is>
          <t>Alabama</t>
        </is>
      </c>
      <c r="B3" s="12" t="inlineStr">
        <is>
          <t>Feeder Steers</t>
        </is>
      </c>
      <c r="C3" s="11" t="inlineStr">
        <is>
          <t>$/cwt</t>
        </is>
      </c>
      <c r="D3" s="26" t="n">
        <v>364.58</v>
      </c>
      <c r="E3" s="27" t="n">
        <v>47800</v>
      </c>
      <c r="F3" s="11" t="n">
        <v>1856</v>
      </c>
      <c r="G3" s="11" t="n">
        <v>48</v>
      </c>
    </row>
    <row r="4">
      <c r="A4" s="12" t="inlineStr">
        <is>
          <t>Alabama</t>
        </is>
      </c>
      <c r="B4" s="12" t="inlineStr">
        <is>
          <t>Feeder Heifers</t>
        </is>
      </c>
      <c r="C4" s="11" t="inlineStr">
        <is>
          <t>$/cwt</t>
        </is>
      </c>
      <c r="D4" s="26" t="n">
        <v>334.42</v>
      </c>
      <c r="E4" s="27" t="n">
        <v>78974</v>
      </c>
      <c r="F4" s="11" t="n">
        <v>2022</v>
      </c>
      <c r="G4" s="11" t="n">
        <v>48</v>
      </c>
    </row>
    <row r="5">
      <c r="A5" s="12" t="inlineStr">
        <is>
          <t>Alabama</t>
        </is>
      </c>
      <c r="B5" s="12" t="inlineStr">
        <is>
          <t>Feeder Bulls</t>
        </is>
      </c>
      <c r="C5" s="11" t="inlineStr">
        <is>
          <t>$/cwt</t>
        </is>
      </c>
      <c r="D5" s="26" t="n">
        <v>361.63</v>
      </c>
      <c r="E5" s="27" t="n">
        <v>56594</v>
      </c>
      <c r="F5" s="11" t="n">
        <v>1768</v>
      </c>
      <c r="G5" s="11" t="n">
        <v>48</v>
      </c>
    </row>
    <row r="6">
      <c r="A6" s="12" t="inlineStr">
        <is>
          <t>Alabama</t>
        </is>
      </c>
      <c r="B6" s="12" t="inlineStr">
        <is>
          <t>Stock Cows ($/head)</t>
        </is>
      </c>
      <c r="C6" s="11" t="inlineStr">
        <is>
          <t>$/head</t>
        </is>
      </c>
      <c r="D6" s="28" t="n">
        <v>1504.21</v>
      </c>
      <c r="E6" s="27" t="n">
        <v>2062</v>
      </c>
      <c r="F6" s="11" t="n">
        <v>110</v>
      </c>
      <c r="G6" s="11" t="n">
        <v>48</v>
      </c>
    </row>
    <row r="7">
      <c r="A7" s="12" t="inlineStr">
        <is>
          <t>Alabama</t>
        </is>
      </c>
      <c r="B7" s="12" t="inlineStr">
        <is>
          <t>Bred Cows ($/head)</t>
        </is>
      </c>
      <c r="C7" s="11" t="inlineStr">
        <is>
          <t>$/head</t>
        </is>
      </c>
      <c r="D7" s="28" t="n">
        <v>2231.6</v>
      </c>
      <c r="E7" s="27" t="n">
        <v>10684</v>
      </c>
      <c r="F7" s="11" t="n">
        <v>622</v>
      </c>
      <c r="G7" s="11" t="n">
        <v>48</v>
      </c>
    </row>
    <row r="8">
      <c r="A8" s="12" t="inlineStr">
        <is>
          <t>Alabama</t>
        </is>
      </c>
      <c r="B8" s="12" t="inlineStr">
        <is>
          <t>Bred Heifers ($/head)</t>
        </is>
      </c>
      <c r="C8" s="11" t="inlineStr">
        <is>
          <t>$/head</t>
        </is>
      </c>
      <c r="D8" s="28" t="n">
        <v>3255.27</v>
      </c>
      <c r="E8" s="27" t="n">
        <v>451</v>
      </c>
      <c r="F8" s="11" t="n">
        <v>49</v>
      </c>
      <c r="G8" s="11" t="n">
        <v>24</v>
      </c>
    </row>
    <row r="9">
      <c r="A9" s="12" t="inlineStr">
        <is>
          <t>Alabama</t>
        </is>
      </c>
      <c r="B9" s="12" t="inlineStr">
        <is>
          <t>Cow-Calf Pairs ($/head)</t>
        </is>
      </c>
      <c r="C9" s="11" t="inlineStr">
        <is>
          <t>$/head</t>
        </is>
      </c>
      <c r="D9" s="28" t="n">
        <v>2856.7</v>
      </c>
      <c r="E9" s="27" t="n">
        <v>5480</v>
      </c>
      <c r="F9" s="11" t="n">
        <v>405</v>
      </c>
      <c r="G9" s="11" t="n">
        <v>48</v>
      </c>
    </row>
    <row r="10">
      <c r="A10" s="12" t="inlineStr">
        <is>
          <t>Arkansas</t>
        </is>
      </c>
      <c r="B10" s="12" t="inlineStr">
        <is>
          <t>Overall Feeder</t>
        </is>
      </c>
      <c r="C10" s="11" t="inlineStr">
        <is>
          <t>$/cwt</t>
        </is>
      </c>
      <c r="D10" s="26" t="n">
        <v>356.53</v>
      </c>
      <c r="E10" s="27" t="n">
        <v>149907</v>
      </c>
      <c r="F10" s="11" t="n">
        <v>9124</v>
      </c>
      <c r="G10" s="11" t="n">
        <v>49</v>
      </c>
    </row>
    <row r="11">
      <c r="A11" s="12" t="inlineStr">
        <is>
          <t>Arkansas</t>
        </is>
      </c>
      <c r="B11" s="12" t="inlineStr">
        <is>
          <t>Feeder Steers</t>
        </is>
      </c>
      <c r="C11" s="11" t="inlineStr">
        <is>
          <t>$/cwt</t>
        </is>
      </c>
      <c r="D11" s="26" t="n">
        <v>373.79</v>
      </c>
      <c r="E11" s="27" t="n">
        <v>60147</v>
      </c>
      <c r="F11" s="11" t="n">
        <v>3221</v>
      </c>
      <c r="G11" s="11" t="n">
        <v>49</v>
      </c>
    </row>
    <row r="12">
      <c r="A12" s="12" t="inlineStr">
        <is>
          <t>Arkansas</t>
        </is>
      </c>
      <c r="B12" s="12" t="inlineStr">
        <is>
          <t>Feeder Heifers</t>
        </is>
      </c>
      <c r="C12" s="11" t="inlineStr">
        <is>
          <t>$/cwt</t>
        </is>
      </c>
      <c r="D12" s="26" t="n">
        <v>339.17</v>
      </c>
      <c r="E12" s="27" t="n">
        <v>61773</v>
      </c>
      <c r="F12" s="11" t="n">
        <v>3524</v>
      </c>
      <c r="G12" s="11" t="n">
        <v>49</v>
      </c>
    </row>
    <row r="13">
      <c r="A13" s="12" t="inlineStr">
        <is>
          <t>Arkansas</t>
        </is>
      </c>
      <c r="B13" s="12" t="inlineStr">
        <is>
          <t>Feeder Bulls</t>
        </is>
      </c>
      <c r="C13" s="11" t="inlineStr">
        <is>
          <t>$/cwt</t>
        </is>
      </c>
      <c r="D13" s="26" t="n">
        <v>357.74</v>
      </c>
      <c r="E13" s="27" t="n">
        <v>27987</v>
      </c>
      <c r="F13" s="11" t="n">
        <v>2379</v>
      </c>
      <c r="G13" s="11" t="n">
        <v>49</v>
      </c>
    </row>
    <row r="14">
      <c r="A14" s="12" t="inlineStr">
        <is>
          <t>Arkansas</t>
        </is>
      </c>
      <c r="B14" s="12" t="inlineStr">
        <is>
          <t>Stock Cows ($/cwt)</t>
        </is>
      </c>
      <c r="C14" s="11" t="inlineStr">
        <is>
          <t>$/cwt</t>
        </is>
      </c>
      <c r="D14" s="26" t="n">
        <v>181.24</v>
      </c>
      <c r="E14" s="27" t="n">
        <v>1128</v>
      </c>
      <c r="F14" s="11" t="n">
        <v>188</v>
      </c>
      <c r="G14" s="11" t="n">
        <v>48</v>
      </c>
    </row>
    <row r="15">
      <c r="A15" s="12" t="inlineStr">
        <is>
          <t>Arkansas</t>
        </is>
      </c>
      <c r="B15" s="12" t="inlineStr">
        <is>
          <t>Stock Cows ($/head)</t>
        </is>
      </c>
      <c r="C15" s="11" t="inlineStr">
        <is>
          <t>$/head</t>
        </is>
      </c>
      <c r="D15" s="28" t="n">
        <v>2072.95</v>
      </c>
      <c r="E15" s="27" t="n">
        <v>457</v>
      </c>
      <c r="F15" s="11" t="n">
        <v>65</v>
      </c>
      <c r="G15" s="11" t="n">
        <v>36</v>
      </c>
    </row>
    <row r="16">
      <c r="A16" s="12" t="inlineStr">
        <is>
          <t>Arkansas</t>
        </is>
      </c>
      <c r="B16" s="12" t="inlineStr">
        <is>
          <t>Bred Cows ($/head)</t>
        </is>
      </c>
      <c r="C16" s="11" t="inlineStr">
        <is>
          <t>$/head</t>
        </is>
      </c>
      <c r="D16" s="28" t="n">
        <v>2357.32</v>
      </c>
      <c r="E16" s="27" t="n">
        <v>4174</v>
      </c>
      <c r="F16" s="11" t="n">
        <v>728</v>
      </c>
      <c r="G16" s="11" t="n">
        <v>49</v>
      </c>
    </row>
    <row r="17">
      <c r="A17" s="12" t="inlineStr">
        <is>
          <t>Arkansas</t>
        </is>
      </c>
      <c r="B17" s="12" t="inlineStr">
        <is>
          <t>Bred Cows ($/cwt)</t>
        </is>
      </c>
      <c r="C17" s="11" t="inlineStr">
        <is>
          <t>$/cwt</t>
        </is>
      </c>
      <c r="D17" s="26" t="n">
        <v>158.76</v>
      </c>
      <c r="E17" s="27" t="n">
        <v>1026</v>
      </c>
      <c r="F17" s="11" t="n">
        <v>342</v>
      </c>
      <c r="G17" s="11" t="n">
        <v>49</v>
      </c>
    </row>
    <row r="18">
      <c r="A18" s="12" t="inlineStr">
        <is>
          <t>Arkansas</t>
        </is>
      </c>
      <c r="B18" s="12" t="inlineStr">
        <is>
          <t>Bred Heifers ($/head)</t>
        </is>
      </c>
      <c r="C18" s="11" t="inlineStr">
        <is>
          <t>$/head</t>
        </is>
      </c>
      <c r="D18" s="28" t="n">
        <v>2454.93</v>
      </c>
      <c r="E18" s="27" t="n">
        <v>740</v>
      </c>
      <c r="F18" s="11" t="n">
        <v>247</v>
      </c>
      <c r="G18" s="11" t="n">
        <v>48</v>
      </c>
    </row>
    <row r="19">
      <c r="A19" s="12" t="inlineStr">
        <is>
          <t>Arkansas</t>
        </is>
      </c>
      <c r="B19" s="12" t="inlineStr">
        <is>
          <t>Bred Heifers ($/cwt)</t>
        </is>
      </c>
      <c r="C19" s="11" t="inlineStr">
        <is>
          <t>$/cwt</t>
        </is>
      </c>
      <c r="D19" s="26" t="n">
        <v>276.21</v>
      </c>
      <c r="E19" s="27" t="n">
        <v>19</v>
      </c>
      <c r="F19" s="11" t="n">
        <v>16</v>
      </c>
      <c r="G19" s="11" t="n">
        <v>11</v>
      </c>
    </row>
    <row r="20">
      <c r="A20" s="12" t="inlineStr">
        <is>
          <t>Arkansas</t>
        </is>
      </c>
      <c r="B20" s="12" t="inlineStr">
        <is>
          <t>Cow-Calf Pairs ($/head)</t>
        </is>
      </c>
      <c r="C20" s="11" t="inlineStr">
        <is>
          <t>$/head</t>
        </is>
      </c>
      <c r="D20" s="28" t="n">
        <v>2913.87</v>
      </c>
      <c r="E20" s="27" t="n">
        <v>1967</v>
      </c>
      <c r="F20" s="11" t="n">
        <v>580</v>
      </c>
      <c r="G20" s="11" t="n">
        <v>49</v>
      </c>
    </row>
    <row r="21">
      <c r="A21" s="12" t="inlineStr">
        <is>
          <t>Arkansas</t>
        </is>
      </c>
      <c r="B21" s="12" t="inlineStr">
        <is>
          <t>Heifer Pairs ($/head)</t>
        </is>
      </c>
      <c r="C21" s="11" t="inlineStr">
        <is>
          <t>$/head</t>
        </is>
      </c>
      <c r="D21" s="28" t="n">
        <v>2769.54</v>
      </c>
      <c r="E21" s="27" t="n">
        <v>77</v>
      </c>
      <c r="F21" s="11" t="n">
        <v>54</v>
      </c>
      <c r="G21" s="11" t="n">
        <v>30</v>
      </c>
    </row>
    <row r="22">
      <c r="A22" s="12" t="inlineStr">
        <is>
          <t>Arkansas</t>
        </is>
      </c>
      <c r="B22" s="12" t="inlineStr">
        <is>
          <t>Replacement Bulls ($/head)</t>
        </is>
      </c>
      <c r="C22" s="11" t="inlineStr">
        <is>
          <t>$/head</t>
        </is>
      </c>
      <c r="D22" s="28" t="n">
        <v>3158.51</v>
      </c>
      <c r="E22" s="27" t="n">
        <v>111</v>
      </c>
      <c r="F22" s="11" t="n">
        <v>55</v>
      </c>
      <c r="G22" s="11" t="n">
        <v>30</v>
      </c>
    </row>
    <row r="23">
      <c r="A23" s="12" t="inlineStr">
        <is>
          <t>Arkansas</t>
        </is>
      </c>
      <c r="B23" s="12" t="inlineStr">
        <is>
          <t>Replacement Bulls ($/cwt)</t>
        </is>
      </c>
      <c r="C23" s="11" t="inlineStr">
        <is>
          <t>$/cwt</t>
        </is>
      </c>
      <c r="D23" s="26" t="n">
        <v>328.37</v>
      </c>
      <c r="E23" s="27" t="n">
        <v>23</v>
      </c>
      <c r="F23" s="11" t="n">
        <v>20</v>
      </c>
      <c r="G23" s="11" t="n">
        <v>18</v>
      </c>
    </row>
    <row r="24">
      <c r="A24" s="12" t="inlineStr">
        <is>
          <t>Colorado</t>
        </is>
      </c>
      <c r="B24" s="12" t="inlineStr">
        <is>
          <t>Overall Feeder</t>
        </is>
      </c>
      <c r="C24" s="11" t="inlineStr">
        <is>
          <t>$/cwt</t>
        </is>
      </c>
      <c r="D24" s="26" t="n">
        <v>354.09</v>
      </c>
      <c r="E24" s="27" t="n">
        <v>147642</v>
      </c>
      <c r="F24" s="11" t="n">
        <v>3728</v>
      </c>
      <c r="G24" s="11" t="n">
        <v>39</v>
      </c>
    </row>
    <row r="25">
      <c r="A25" s="12" t="inlineStr">
        <is>
          <t>Colorado</t>
        </is>
      </c>
      <c r="B25" s="12" t="inlineStr">
        <is>
          <t>Feeder Steers</t>
        </is>
      </c>
      <c r="C25" s="11" t="inlineStr">
        <is>
          <t>$/cwt</t>
        </is>
      </c>
      <c r="D25" s="26" t="n">
        <v>369.13</v>
      </c>
      <c r="E25" s="27" t="n">
        <v>80973</v>
      </c>
      <c r="F25" s="11" t="n">
        <v>1689</v>
      </c>
      <c r="G25" s="11" t="n">
        <v>33</v>
      </c>
    </row>
    <row r="26">
      <c r="A26" s="12" t="inlineStr">
        <is>
          <t>Colorado</t>
        </is>
      </c>
      <c r="B26" s="12" t="inlineStr">
        <is>
          <t>Feeder Heifers</t>
        </is>
      </c>
      <c r="C26" s="11" t="inlineStr">
        <is>
          <t>$/cwt</t>
        </is>
      </c>
      <c r="D26" s="26" t="n">
        <v>335.6</v>
      </c>
      <c r="E26" s="27" t="n">
        <v>65030</v>
      </c>
      <c r="F26" s="11" t="n">
        <v>1744</v>
      </c>
      <c r="G26" s="11" t="n">
        <v>36</v>
      </c>
    </row>
    <row r="27">
      <c r="A27" s="12" t="inlineStr">
        <is>
          <t>Colorado</t>
        </is>
      </c>
      <c r="B27" s="12" t="inlineStr">
        <is>
          <t>Feeder Bulls</t>
        </is>
      </c>
      <c r="C27" s="11" t="inlineStr">
        <is>
          <t>$/cwt</t>
        </is>
      </c>
      <c r="D27" s="26" t="n">
        <v>344.66</v>
      </c>
      <c r="E27" s="27" t="n">
        <v>1639</v>
      </c>
      <c r="F27" s="11" t="n">
        <v>295</v>
      </c>
      <c r="G27" s="11" t="n">
        <v>38</v>
      </c>
    </row>
    <row r="28">
      <c r="A28" s="12" t="inlineStr">
        <is>
          <t>Colorado</t>
        </is>
      </c>
      <c r="B28" s="12" t="inlineStr">
        <is>
          <t>Stock Cows ($/cwt)</t>
        </is>
      </c>
      <c r="C28" s="11" t="inlineStr">
        <is>
          <t>$/cwt</t>
        </is>
      </c>
      <c r="D28" s="26" t="n">
        <v>192.92</v>
      </c>
      <c r="E28" s="27" t="n">
        <v>2154</v>
      </c>
      <c r="F28" s="11" t="n">
        <v>86</v>
      </c>
      <c r="G28" s="11" t="n">
        <v>24</v>
      </c>
    </row>
    <row r="29">
      <c r="A29" s="12" t="inlineStr">
        <is>
          <t>Colorado</t>
        </is>
      </c>
      <c r="B29" s="12" t="inlineStr">
        <is>
          <t>Bred Cows ($/head)</t>
        </is>
      </c>
      <c r="C29" s="11" t="inlineStr">
        <is>
          <t>$/head</t>
        </is>
      </c>
      <c r="D29" s="28" t="n">
        <v>2415.86</v>
      </c>
      <c r="E29" s="27" t="n">
        <v>6074</v>
      </c>
      <c r="F29" s="11" t="n">
        <v>452</v>
      </c>
      <c r="G29" s="11" t="n">
        <v>24</v>
      </c>
    </row>
    <row r="30">
      <c r="A30" s="12" t="inlineStr">
        <is>
          <t>Colorado</t>
        </is>
      </c>
      <c r="B30" s="12" t="inlineStr">
        <is>
          <t>Bred Heifers ($/head)</t>
        </is>
      </c>
      <c r="C30" s="11" t="inlineStr">
        <is>
          <t>$/head</t>
        </is>
      </c>
      <c r="D30" s="28" t="n">
        <v>2715.72</v>
      </c>
      <c r="E30" s="27" t="n">
        <v>934</v>
      </c>
      <c r="F30" s="11" t="n">
        <v>91</v>
      </c>
      <c r="G30" s="11" t="n">
        <v>22</v>
      </c>
    </row>
    <row r="31">
      <c r="A31" s="12" t="inlineStr">
        <is>
          <t>Colorado</t>
        </is>
      </c>
      <c r="B31" s="12" t="inlineStr">
        <is>
          <t>Cow-Calf Pairs ($/head)</t>
        </is>
      </c>
      <c r="C31" s="11" t="inlineStr">
        <is>
          <t>$/head</t>
        </is>
      </c>
      <c r="D31" s="28" t="n">
        <v>3230.97</v>
      </c>
      <c r="E31" s="27" t="n">
        <v>1141</v>
      </c>
      <c r="F31" s="11" t="n">
        <v>163</v>
      </c>
      <c r="G31" s="11" t="n">
        <v>24</v>
      </c>
    </row>
    <row r="32">
      <c r="A32" s="12" t="inlineStr">
        <is>
          <t>Colorado</t>
        </is>
      </c>
      <c r="B32" s="12" t="inlineStr">
        <is>
          <t>Heifer Pairs ($/head)</t>
        </is>
      </c>
      <c r="C32" s="11" t="inlineStr">
        <is>
          <t>$/head</t>
        </is>
      </c>
      <c r="D32" s="28" t="n">
        <v>3659.04</v>
      </c>
      <c r="E32" s="27" t="n">
        <v>259</v>
      </c>
      <c r="F32" s="11" t="n">
        <v>21</v>
      </c>
      <c r="G32" s="11" t="n">
        <v>10</v>
      </c>
    </row>
    <row r="33">
      <c r="A33" s="12" t="inlineStr">
        <is>
          <t>Florida</t>
        </is>
      </c>
      <c r="B33" s="12" t="inlineStr">
        <is>
          <t>Overall Feeder</t>
        </is>
      </c>
      <c r="C33" s="11" t="inlineStr">
        <is>
          <t>$/cwt</t>
        </is>
      </c>
      <c r="D33" s="26" t="n">
        <v>406.9</v>
      </c>
      <c r="E33" s="27" t="n">
        <v>102967</v>
      </c>
      <c r="F33" s="11" t="n">
        <v>3076</v>
      </c>
      <c r="G33" s="11" t="n">
        <v>48</v>
      </c>
    </row>
    <row r="34">
      <c r="A34" s="12" t="inlineStr">
        <is>
          <t>Florida</t>
        </is>
      </c>
      <c r="B34" s="12" t="inlineStr">
        <is>
          <t>Feeder Steers</t>
        </is>
      </c>
      <c r="C34" s="11" t="inlineStr">
        <is>
          <t>$/cwt</t>
        </is>
      </c>
      <c r="D34" s="26" t="n">
        <v>430.38</v>
      </c>
      <c r="E34" s="27" t="n">
        <v>43237</v>
      </c>
      <c r="F34" s="11" t="n">
        <v>1043</v>
      </c>
      <c r="G34" s="11" t="n">
        <v>48</v>
      </c>
    </row>
    <row r="35">
      <c r="A35" s="12" t="inlineStr">
        <is>
          <t>Florida</t>
        </is>
      </c>
      <c r="B35" s="12" t="inlineStr">
        <is>
          <t>Feeder Heifers</t>
        </is>
      </c>
      <c r="C35" s="11" t="inlineStr">
        <is>
          <t>$/cwt</t>
        </is>
      </c>
      <c r="D35" s="26" t="n">
        <v>376.73</v>
      </c>
      <c r="E35" s="27" t="n">
        <v>45449</v>
      </c>
      <c r="F35" s="11" t="n">
        <v>1106</v>
      </c>
      <c r="G35" s="11" t="n">
        <v>48</v>
      </c>
    </row>
    <row r="36">
      <c r="A36" s="12" t="inlineStr">
        <is>
          <t>Florida</t>
        </is>
      </c>
      <c r="B36" s="12" t="inlineStr">
        <is>
          <t>Feeder Bulls</t>
        </is>
      </c>
      <c r="C36" s="11" t="inlineStr">
        <is>
          <t>$/cwt</t>
        </is>
      </c>
      <c r="D36" s="26" t="n">
        <v>431.79</v>
      </c>
      <c r="E36" s="27" t="n">
        <v>14281</v>
      </c>
      <c r="F36" s="11" t="n">
        <v>927</v>
      </c>
      <c r="G36" s="11" t="n">
        <v>48</v>
      </c>
    </row>
    <row r="37">
      <c r="A37" s="12" t="inlineStr">
        <is>
          <t>Florida</t>
        </is>
      </c>
      <c r="B37" s="12" t="inlineStr">
        <is>
          <t>Stock Cows ($/cwt)</t>
        </is>
      </c>
      <c r="C37" s="11" t="inlineStr">
        <is>
          <t>$/cwt</t>
        </is>
      </c>
      <c r="D37" s="26" t="n">
        <v>196.97</v>
      </c>
      <c r="E37" s="27" t="n">
        <v>39</v>
      </c>
      <c r="F37" s="11" t="n">
        <v>2</v>
      </c>
      <c r="G37" s="11" t="n">
        <v>1</v>
      </c>
    </row>
    <row r="38">
      <c r="A38" s="12" t="inlineStr">
        <is>
          <t>Florida</t>
        </is>
      </c>
      <c r="B38" s="12" t="inlineStr">
        <is>
          <t>Bred Cows ($/cwt)</t>
        </is>
      </c>
      <c r="C38" s="11" t="inlineStr">
        <is>
          <t>$/cwt</t>
        </is>
      </c>
      <c r="D38" s="26" t="n">
        <v>195.03</v>
      </c>
      <c r="E38" s="27" t="n">
        <v>1033</v>
      </c>
      <c r="F38" s="11" t="n">
        <v>94</v>
      </c>
      <c r="G38" s="11" t="n">
        <v>45</v>
      </c>
    </row>
    <row r="39">
      <c r="A39" s="12" t="inlineStr">
        <is>
          <t>Florida</t>
        </is>
      </c>
      <c r="B39" s="12" t="inlineStr">
        <is>
          <t>Bred Heifers ($/cwt)</t>
        </is>
      </c>
      <c r="C39" s="11" t="inlineStr">
        <is>
          <t>$/cwt</t>
        </is>
      </c>
      <c r="D39" s="26" t="n">
        <v>381.42</v>
      </c>
      <c r="E39" s="27" t="n">
        <v>10</v>
      </c>
      <c r="F39" s="11" t="n">
        <v>1</v>
      </c>
      <c r="G39" s="11" t="n">
        <v>1</v>
      </c>
    </row>
    <row r="40">
      <c r="A40" s="12" t="inlineStr">
        <is>
          <t>Florida</t>
        </is>
      </c>
      <c r="B40" s="12" t="inlineStr">
        <is>
          <t>Cow-Calf Pairs ($/head)</t>
        </is>
      </c>
      <c r="C40" s="11" t="inlineStr">
        <is>
          <t>$/head</t>
        </is>
      </c>
      <c r="D40" s="28" t="n">
        <v>2633.55</v>
      </c>
      <c r="E40" s="27" t="n">
        <v>170</v>
      </c>
      <c r="F40" s="11" t="n">
        <v>23</v>
      </c>
      <c r="G40" s="11" t="n">
        <v>22</v>
      </c>
    </row>
    <row r="41">
      <c r="A41" s="12" t="inlineStr">
        <is>
          <t>Georgia</t>
        </is>
      </c>
      <c r="B41" s="12" t="inlineStr">
        <is>
          <t>Overall Feeder</t>
        </is>
      </c>
      <c r="C41" s="11" t="inlineStr">
        <is>
          <t>$/cwt</t>
        </is>
      </c>
      <c r="D41" s="26" t="n">
        <v>350.3</v>
      </c>
      <c r="E41" s="27" t="n">
        <v>191463</v>
      </c>
      <c r="F41" s="11" t="n">
        <v>5486</v>
      </c>
      <c r="G41" s="11" t="n">
        <v>48</v>
      </c>
    </row>
    <row r="42">
      <c r="A42" s="12" t="inlineStr">
        <is>
          <t>Georgia</t>
        </is>
      </c>
      <c r="B42" s="12" t="inlineStr">
        <is>
          <t>Feeder Steers</t>
        </is>
      </c>
      <c r="C42" s="11" t="inlineStr">
        <is>
          <t>$/cwt</t>
        </is>
      </c>
      <c r="D42" s="26" t="n">
        <v>368.79</v>
      </c>
      <c r="E42" s="27" t="n">
        <v>46536</v>
      </c>
      <c r="F42" s="11" t="n">
        <v>1802</v>
      </c>
      <c r="G42" s="11" t="n">
        <v>48</v>
      </c>
    </row>
    <row r="43">
      <c r="A43" s="12" t="inlineStr">
        <is>
          <t>Georgia</t>
        </is>
      </c>
      <c r="B43" s="12" t="inlineStr">
        <is>
          <t>Feeder Heifers</t>
        </is>
      </c>
      <c r="C43" s="11" t="inlineStr">
        <is>
          <t>$/cwt</t>
        </is>
      </c>
      <c r="D43" s="26" t="n">
        <v>334.11</v>
      </c>
      <c r="E43" s="27" t="n">
        <v>81681</v>
      </c>
      <c r="F43" s="11" t="n">
        <v>1874</v>
      </c>
      <c r="G43" s="11" t="n">
        <v>48</v>
      </c>
    </row>
    <row r="44">
      <c r="A44" s="12" t="inlineStr">
        <is>
          <t>Georgia</t>
        </is>
      </c>
      <c r="B44" s="12" t="inlineStr">
        <is>
          <t>Feeder Bulls</t>
        </is>
      </c>
      <c r="C44" s="11" t="inlineStr">
        <is>
          <t>$/cwt</t>
        </is>
      </c>
      <c r="D44" s="26" t="n">
        <v>357.62</v>
      </c>
      <c r="E44" s="27" t="n">
        <v>63246</v>
      </c>
      <c r="F44" s="11" t="n">
        <v>1810</v>
      </c>
      <c r="G44" s="11" t="n">
        <v>48</v>
      </c>
    </row>
    <row r="45">
      <c r="A45" s="12" t="inlineStr">
        <is>
          <t>Georgia</t>
        </is>
      </c>
      <c r="B45" s="12" t="inlineStr">
        <is>
          <t>Stock Cows ($/cwt)</t>
        </is>
      </c>
      <c r="C45" s="11" t="inlineStr">
        <is>
          <t>$/cwt</t>
        </is>
      </c>
      <c r="D45" s="26" t="n">
        <v>249</v>
      </c>
      <c r="E45" s="27" t="n">
        <v>11</v>
      </c>
      <c r="F45" s="11" t="n">
        <v>1</v>
      </c>
      <c r="G45" s="11" t="n">
        <v>1</v>
      </c>
    </row>
    <row r="46">
      <c r="A46" s="12" t="inlineStr">
        <is>
          <t>Georgia</t>
        </is>
      </c>
      <c r="B46" s="12" t="inlineStr">
        <is>
          <t>Bred Cows ($/head)</t>
        </is>
      </c>
      <c r="C46" s="11" t="inlineStr">
        <is>
          <t>$/head</t>
        </is>
      </c>
      <c r="D46" s="28" t="n">
        <v>2077.03</v>
      </c>
      <c r="E46" s="27" t="n">
        <v>10140</v>
      </c>
      <c r="F46" s="11" t="n">
        <v>565</v>
      </c>
      <c r="G46" s="11" t="n">
        <v>48</v>
      </c>
    </row>
    <row r="47">
      <c r="A47" s="12" t="inlineStr">
        <is>
          <t>Georgia</t>
        </is>
      </c>
      <c r="B47" s="12" t="inlineStr">
        <is>
          <t>Bred Cows ($/cwt)</t>
        </is>
      </c>
      <c r="C47" s="11" t="inlineStr">
        <is>
          <t>$/cwt</t>
        </is>
      </c>
      <c r="D47" s="26" t="n">
        <v>179.22</v>
      </c>
      <c r="E47" s="27" t="n">
        <v>878</v>
      </c>
      <c r="F47" s="11" t="n">
        <v>311</v>
      </c>
      <c r="G47" s="11" t="n">
        <v>47</v>
      </c>
    </row>
    <row r="48">
      <c r="A48" s="12" t="inlineStr">
        <is>
          <t>Georgia</t>
        </is>
      </c>
      <c r="B48" s="12" t="inlineStr">
        <is>
          <t>Bred Heifers ($/head)</t>
        </is>
      </c>
      <c r="C48" s="11" t="inlineStr">
        <is>
          <t>$/head</t>
        </is>
      </c>
      <c r="D48" s="28" t="n">
        <v>2430.66</v>
      </c>
      <c r="E48" s="27" t="n">
        <v>3</v>
      </c>
      <c r="F48" s="11" t="n">
        <v>2</v>
      </c>
      <c r="G48" s="11" t="n">
        <v>1</v>
      </c>
    </row>
    <row r="49">
      <c r="A49" s="12" t="inlineStr">
        <is>
          <t>Georgia</t>
        </is>
      </c>
      <c r="B49" s="12" t="inlineStr">
        <is>
          <t>Bred Heifers ($/cwt)</t>
        </is>
      </c>
      <c r="C49" s="11" t="inlineStr">
        <is>
          <t>$/cwt</t>
        </is>
      </c>
      <c r="D49" s="26" t="n">
        <v>227.3</v>
      </c>
      <c r="E49" s="27" t="n">
        <v>17</v>
      </c>
      <c r="F49" s="11" t="n">
        <v>10</v>
      </c>
      <c r="G49" s="11" t="n">
        <v>4</v>
      </c>
    </row>
    <row r="50">
      <c r="A50" s="12" t="inlineStr">
        <is>
          <t>Georgia</t>
        </is>
      </c>
      <c r="B50" s="12" t="inlineStr">
        <is>
          <t>Cow-Calf Pairs ($/head)</t>
        </is>
      </c>
      <c r="C50" s="11" t="inlineStr">
        <is>
          <t>$/head</t>
        </is>
      </c>
      <c r="D50" s="28" t="n">
        <v>2645.69</v>
      </c>
      <c r="E50" s="27" t="n">
        <v>6105</v>
      </c>
      <c r="F50" s="11" t="n">
        <v>633</v>
      </c>
      <c r="G50" s="11" t="n">
        <v>48</v>
      </c>
    </row>
    <row r="51">
      <c r="A51" s="12" t="inlineStr">
        <is>
          <t>Georgia</t>
        </is>
      </c>
      <c r="B51" s="12" t="inlineStr">
        <is>
          <t>Heifer Pairs ($/head)</t>
        </is>
      </c>
      <c r="C51" s="11" t="inlineStr">
        <is>
          <t>$/head</t>
        </is>
      </c>
      <c r="D51" s="28" t="n">
        <v>3700</v>
      </c>
      <c r="E51" s="27" t="n">
        <v>4</v>
      </c>
      <c r="F51" s="11" t="n">
        <v>2</v>
      </c>
      <c r="G51" s="11" t="n">
        <v>2</v>
      </c>
    </row>
    <row r="52">
      <c r="A52" s="12" t="inlineStr">
        <is>
          <t>Illinois</t>
        </is>
      </c>
      <c r="B52" s="12" t="inlineStr">
        <is>
          <t>Overall Feeder</t>
        </is>
      </c>
      <c r="C52" s="11" t="inlineStr">
        <is>
          <t>$/cwt</t>
        </is>
      </c>
      <c r="D52" s="26" t="n">
        <v>333.87</v>
      </c>
      <c r="E52" s="27" t="n">
        <v>29319</v>
      </c>
      <c r="F52" s="11" t="n">
        <v>2389</v>
      </c>
      <c r="G52" s="11" t="n">
        <v>27</v>
      </c>
    </row>
    <row r="53">
      <c r="A53" s="12" t="inlineStr">
        <is>
          <t>Illinois</t>
        </is>
      </c>
      <c r="B53" s="12" t="inlineStr">
        <is>
          <t>Feeder Steers</t>
        </is>
      </c>
      <c r="C53" s="11" t="inlineStr">
        <is>
          <t>$/cwt</t>
        </is>
      </c>
      <c r="D53" s="26" t="n">
        <v>340.73</v>
      </c>
      <c r="E53" s="27" t="n">
        <v>17947</v>
      </c>
      <c r="F53" s="11" t="n">
        <v>1160</v>
      </c>
      <c r="G53" s="11" t="n">
        <v>27</v>
      </c>
    </row>
    <row r="54">
      <c r="A54" s="12" t="inlineStr">
        <is>
          <t>Illinois</t>
        </is>
      </c>
      <c r="B54" s="12" t="inlineStr">
        <is>
          <t>Feeder Heifers</t>
        </is>
      </c>
      <c r="C54" s="11" t="inlineStr">
        <is>
          <t>$/cwt</t>
        </is>
      </c>
      <c r="D54" s="26" t="n">
        <v>323.65</v>
      </c>
      <c r="E54" s="27" t="n">
        <v>10849</v>
      </c>
      <c r="F54" s="11" t="n">
        <v>1026</v>
      </c>
      <c r="G54" s="11" t="n">
        <v>27</v>
      </c>
    </row>
    <row r="55">
      <c r="A55" s="12" t="inlineStr">
        <is>
          <t>Illinois</t>
        </is>
      </c>
      <c r="B55" s="12" t="inlineStr">
        <is>
          <t>Feeder Bulls</t>
        </is>
      </c>
      <c r="C55" s="11" t="inlineStr">
        <is>
          <t>$/cwt</t>
        </is>
      </c>
      <c r="D55" s="26" t="n">
        <v>310.58</v>
      </c>
      <c r="E55" s="27" t="n">
        <v>523</v>
      </c>
      <c r="F55" s="11" t="n">
        <v>203</v>
      </c>
      <c r="G55" s="11" t="n">
        <v>23</v>
      </c>
    </row>
    <row r="56">
      <c r="A56" s="12" t="inlineStr">
        <is>
          <t>Illinois</t>
        </is>
      </c>
      <c r="B56" s="12" t="inlineStr">
        <is>
          <t>Stock Cows ($/cwt)</t>
        </is>
      </c>
      <c r="C56" s="11" t="inlineStr">
        <is>
          <t>$/cwt</t>
        </is>
      </c>
      <c r="D56" s="26" t="n">
        <v>225.72</v>
      </c>
      <c r="E56" s="27" t="n">
        <v>3</v>
      </c>
      <c r="F56" s="11" t="n">
        <v>1</v>
      </c>
      <c r="G56" s="11" t="n">
        <v>1</v>
      </c>
    </row>
    <row r="57">
      <c r="A57" s="12" t="inlineStr">
        <is>
          <t>Illinois</t>
        </is>
      </c>
      <c r="B57" s="12" t="inlineStr">
        <is>
          <t>Stock Cows ($/head)</t>
        </is>
      </c>
      <c r="C57" s="11" t="inlineStr">
        <is>
          <t>$/head</t>
        </is>
      </c>
      <c r="D57" s="28" t="n">
        <v>2410.07</v>
      </c>
      <c r="E57" s="27" t="n">
        <v>41</v>
      </c>
      <c r="F57" s="11" t="n">
        <v>10</v>
      </c>
      <c r="G57" s="11" t="n">
        <v>5</v>
      </c>
    </row>
    <row r="58">
      <c r="A58" s="12" t="inlineStr">
        <is>
          <t>Illinois</t>
        </is>
      </c>
      <c r="B58" s="12" t="inlineStr">
        <is>
          <t>Bred Cows ($/head)</t>
        </is>
      </c>
      <c r="C58" s="11" t="inlineStr">
        <is>
          <t>$/head</t>
        </is>
      </c>
      <c r="D58" s="28" t="n">
        <v>2683.72</v>
      </c>
      <c r="E58" s="27" t="n">
        <v>982</v>
      </c>
      <c r="F58" s="11" t="n">
        <v>141</v>
      </c>
      <c r="G58" s="11" t="n">
        <v>10</v>
      </c>
    </row>
    <row r="59">
      <c r="A59" s="12" t="inlineStr">
        <is>
          <t>Illinois</t>
        </is>
      </c>
      <c r="B59" s="12" t="inlineStr">
        <is>
          <t>Bred Cows ($/cwt)</t>
        </is>
      </c>
      <c r="C59" s="11" t="inlineStr">
        <is>
          <t>$/cwt</t>
        </is>
      </c>
      <c r="D59" s="26" t="n">
        <v>143.59</v>
      </c>
      <c r="E59" s="27" t="n">
        <v>9</v>
      </c>
      <c r="F59" s="11" t="n">
        <v>6</v>
      </c>
      <c r="G59" s="11" t="n">
        <v>2</v>
      </c>
    </row>
    <row r="60">
      <c r="A60" s="12" t="inlineStr">
        <is>
          <t>Illinois</t>
        </is>
      </c>
      <c r="B60" s="12" t="inlineStr">
        <is>
          <t>Bred Heifers ($/head)</t>
        </is>
      </c>
      <c r="C60" s="11" t="inlineStr">
        <is>
          <t>$/head</t>
        </is>
      </c>
      <c r="D60" s="28" t="n">
        <v>3485.72</v>
      </c>
      <c r="E60" s="27" t="n">
        <v>517</v>
      </c>
      <c r="F60" s="11" t="n">
        <v>55</v>
      </c>
      <c r="G60" s="11" t="n">
        <v>10</v>
      </c>
    </row>
    <row r="61">
      <c r="A61" s="12" t="inlineStr">
        <is>
          <t>Illinois</t>
        </is>
      </c>
      <c r="B61" s="12" t="inlineStr">
        <is>
          <t>Cow-Calf Pairs ($/head)</t>
        </is>
      </c>
      <c r="C61" s="11" t="inlineStr">
        <is>
          <t>$/head</t>
        </is>
      </c>
      <c r="D61" s="28" t="n">
        <v>3593.43</v>
      </c>
      <c r="E61" s="27" t="n">
        <v>396</v>
      </c>
      <c r="F61" s="11" t="n">
        <v>88</v>
      </c>
      <c r="G61" s="11" t="n">
        <v>9</v>
      </c>
    </row>
    <row r="62">
      <c r="A62" s="12" t="inlineStr">
        <is>
          <t>Illinois</t>
        </is>
      </c>
      <c r="B62" s="12" t="inlineStr">
        <is>
          <t>Heifer Pairs ($/head)</t>
        </is>
      </c>
      <c r="C62" s="11" t="inlineStr">
        <is>
          <t>$/head</t>
        </is>
      </c>
      <c r="D62" s="28" t="n">
        <v>3973.06</v>
      </c>
      <c r="E62" s="27" t="n">
        <v>138</v>
      </c>
      <c r="F62" s="11" t="n">
        <v>18</v>
      </c>
      <c r="G62" s="11" t="n">
        <v>6</v>
      </c>
    </row>
    <row r="63">
      <c r="A63" s="12" t="inlineStr">
        <is>
          <t>Illinois</t>
        </is>
      </c>
      <c r="B63" s="12" t="inlineStr">
        <is>
          <t>Replacement Bulls ($/head)</t>
        </is>
      </c>
      <c r="C63" s="11" t="inlineStr">
        <is>
          <t>$/head</t>
        </is>
      </c>
      <c r="D63" s="28" t="n">
        <v>4118.07</v>
      </c>
      <c r="E63" s="27" t="n">
        <v>145</v>
      </c>
      <c r="F63" s="11" t="n">
        <v>26</v>
      </c>
      <c r="G63" s="11" t="n">
        <v>9</v>
      </c>
    </row>
    <row r="64">
      <c r="A64" s="12" t="inlineStr">
        <is>
          <t>Iowa</t>
        </is>
      </c>
      <c r="B64" s="12" t="inlineStr">
        <is>
          <t>Overall Feeder</t>
        </is>
      </c>
      <c r="C64" s="11" t="inlineStr">
        <is>
          <t>$/cwt</t>
        </is>
      </c>
      <c r="D64" s="26" t="n">
        <v>338.56</v>
      </c>
      <c r="E64" s="27" t="n">
        <v>353172</v>
      </c>
      <c r="F64" s="11" t="n">
        <v>3579</v>
      </c>
      <c r="G64" s="11" t="n">
        <v>51</v>
      </c>
    </row>
    <row r="65">
      <c r="A65" s="12" t="inlineStr">
        <is>
          <t>Iowa</t>
        </is>
      </c>
      <c r="B65" s="12" t="inlineStr">
        <is>
          <t>Feeder Steers</t>
        </is>
      </c>
      <c r="C65" s="11" t="inlineStr">
        <is>
          <t>$/cwt</t>
        </is>
      </c>
      <c r="D65" s="26" t="n">
        <v>346.58</v>
      </c>
      <c r="E65" s="27" t="n">
        <v>206959</v>
      </c>
      <c r="F65" s="11" t="n">
        <v>1739</v>
      </c>
      <c r="G65" s="11" t="n">
        <v>51</v>
      </c>
    </row>
    <row r="66">
      <c r="A66" s="12" t="inlineStr">
        <is>
          <t>Iowa</t>
        </is>
      </c>
      <c r="B66" s="12" t="inlineStr">
        <is>
          <t>Feeder Heifers</t>
        </is>
      </c>
      <c r="C66" s="11" t="inlineStr">
        <is>
          <t>$/cwt</t>
        </is>
      </c>
      <c r="D66" s="26" t="n">
        <v>326.93</v>
      </c>
      <c r="E66" s="27" t="n">
        <v>144722</v>
      </c>
      <c r="F66" s="11" t="n">
        <v>1627</v>
      </c>
      <c r="G66" s="11" t="n">
        <v>51</v>
      </c>
    </row>
    <row r="67">
      <c r="A67" s="12" t="inlineStr">
        <is>
          <t>Iowa</t>
        </is>
      </c>
      <c r="B67" s="12" t="inlineStr">
        <is>
          <t>Feeder Bulls</t>
        </is>
      </c>
      <c r="C67" s="11" t="inlineStr">
        <is>
          <t>$/cwt</t>
        </is>
      </c>
      <c r="D67" s="26" t="n">
        <v>353.25</v>
      </c>
      <c r="E67" s="27" t="n">
        <v>1491</v>
      </c>
      <c r="F67" s="11" t="n">
        <v>213</v>
      </c>
      <c r="G67" s="11" t="n">
        <v>48</v>
      </c>
    </row>
    <row r="68">
      <c r="A68" s="12" t="inlineStr">
        <is>
          <t>Iowa</t>
        </is>
      </c>
      <c r="B68" s="12" t="inlineStr">
        <is>
          <t>Bred Heifers ($/head)</t>
        </is>
      </c>
      <c r="C68" s="11" t="inlineStr">
        <is>
          <t>$/head</t>
        </is>
      </c>
      <c r="D68" s="28" t="n">
        <v>3222.5</v>
      </c>
      <c r="E68" s="27" t="n">
        <v>292</v>
      </c>
      <c r="F68" s="11" t="n">
        <v>2</v>
      </c>
      <c r="G68" s="11" t="n">
        <v>2</v>
      </c>
    </row>
    <row r="69">
      <c r="A69" s="12" t="inlineStr">
        <is>
          <t>Kansas</t>
        </is>
      </c>
      <c r="B69" s="12" t="inlineStr">
        <is>
          <t>Overall Feeder</t>
        </is>
      </c>
      <c r="C69" s="11" t="inlineStr">
        <is>
          <t>$/cwt</t>
        </is>
      </c>
      <c r="D69" s="26" t="n">
        <v>327.71</v>
      </c>
      <c r="E69" s="27" t="n">
        <v>308561</v>
      </c>
      <c r="F69" s="11" t="n">
        <v>4712</v>
      </c>
      <c r="G69" s="11" t="n">
        <v>49</v>
      </c>
    </row>
    <row r="70">
      <c r="A70" s="12" t="inlineStr">
        <is>
          <t>Kansas</t>
        </is>
      </c>
      <c r="B70" s="12" t="inlineStr">
        <is>
          <t>Feeder Steers</t>
        </is>
      </c>
      <c r="C70" s="11" t="inlineStr">
        <is>
          <t>$/cwt</t>
        </is>
      </c>
      <c r="D70" s="26" t="n">
        <v>334.15</v>
      </c>
      <c r="E70" s="27" t="n">
        <v>183718</v>
      </c>
      <c r="F70" s="11" t="n">
        <v>2361</v>
      </c>
      <c r="G70" s="11" t="n">
        <v>49</v>
      </c>
    </row>
    <row r="71">
      <c r="A71" s="12" t="inlineStr">
        <is>
          <t>Kansas</t>
        </is>
      </c>
      <c r="B71" s="12" t="inlineStr">
        <is>
          <t>Feeder Heifers</t>
        </is>
      </c>
      <c r="C71" s="11" t="inlineStr">
        <is>
          <t>$/cwt</t>
        </is>
      </c>
      <c r="D71" s="26" t="n">
        <v>317.55</v>
      </c>
      <c r="E71" s="27" t="n">
        <v>122365</v>
      </c>
      <c r="F71" s="11" t="n">
        <v>2016</v>
      </c>
      <c r="G71" s="11" t="n">
        <v>49</v>
      </c>
    </row>
    <row r="72">
      <c r="A72" s="12" t="inlineStr">
        <is>
          <t>Kansas</t>
        </is>
      </c>
      <c r="B72" s="12" t="inlineStr">
        <is>
          <t>Feeder Bulls</t>
        </is>
      </c>
      <c r="C72" s="11" t="inlineStr">
        <is>
          <t>$/cwt</t>
        </is>
      </c>
      <c r="D72" s="26" t="n">
        <v>351.9</v>
      </c>
      <c r="E72" s="27" t="n">
        <v>2478</v>
      </c>
      <c r="F72" s="11" t="n">
        <v>335</v>
      </c>
      <c r="G72" s="11" t="n">
        <v>49</v>
      </c>
    </row>
    <row r="73">
      <c r="A73" s="12" t="inlineStr">
        <is>
          <t>Kansas</t>
        </is>
      </c>
      <c r="B73" s="12" t="inlineStr">
        <is>
          <t>Stock Cows ($/cwt)</t>
        </is>
      </c>
      <c r="C73" s="11" t="inlineStr">
        <is>
          <t>$/cwt</t>
        </is>
      </c>
      <c r="D73" s="26" t="n">
        <v>214.18</v>
      </c>
      <c r="E73" s="27" t="n">
        <v>2079</v>
      </c>
      <c r="F73" s="11" t="n">
        <v>145</v>
      </c>
      <c r="G73" s="11" t="n">
        <v>47</v>
      </c>
    </row>
    <row r="74">
      <c r="A74" s="12" t="inlineStr">
        <is>
          <t>Kansas</t>
        </is>
      </c>
      <c r="B74" s="12" t="inlineStr">
        <is>
          <t>Stock Cows ($/head)</t>
        </is>
      </c>
      <c r="C74" s="11" t="inlineStr">
        <is>
          <t>$/head</t>
        </is>
      </c>
      <c r="D74" s="28" t="n">
        <v>2460.65</v>
      </c>
      <c r="E74" s="27" t="n">
        <v>1052</v>
      </c>
      <c r="F74" s="11" t="n">
        <v>16</v>
      </c>
      <c r="G74" s="11" t="n">
        <v>9</v>
      </c>
    </row>
    <row r="75">
      <c r="A75" s="12" t="inlineStr">
        <is>
          <t>Kansas</t>
        </is>
      </c>
      <c r="B75" s="12" t="inlineStr">
        <is>
          <t>Bred Cows ($/head)</t>
        </is>
      </c>
      <c r="C75" s="11" t="inlineStr">
        <is>
          <t>$/head</t>
        </is>
      </c>
      <c r="D75" s="28" t="n">
        <v>3162.32</v>
      </c>
      <c r="E75" s="27" t="n">
        <v>13797</v>
      </c>
      <c r="F75" s="11" t="n">
        <v>683</v>
      </c>
      <c r="G75" s="11" t="n">
        <v>49</v>
      </c>
    </row>
    <row r="76">
      <c r="A76" s="12" t="inlineStr">
        <is>
          <t>Kansas</t>
        </is>
      </c>
      <c r="B76" s="12" t="inlineStr">
        <is>
          <t>Bred Cows ($/cwt)</t>
        </is>
      </c>
      <c r="C76" s="11" t="inlineStr">
        <is>
          <t>$/cwt</t>
        </is>
      </c>
      <c r="D76" s="26" t="n">
        <v>174.13</v>
      </c>
      <c r="E76" s="27" t="n">
        <v>40</v>
      </c>
      <c r="F76" s="11" t="n">
        <v>7</v>
      </c>
      <c r="G76" s="11" t="n">
        <v>5</v>
      </c>
    </row>
    <row r="77">
      <c r="A77" s="12" t="inlineStr">
        <is>
          <t>Kansas</t>
        </is>
      </c>
      <c r="B77" s="12" t="inlineStr">
        <is>
          <t>Bred Heifers ($/head)</t>
        </is>
      </c>
      <c r="C77" s="11" t="inlineStr">
        <is>
          <t>$/head</t>
        </is>
      </c>
      <c r="D77" s="28" t="n">
        <v>3530.59</v>
      </c>
      <c r="E77" s="27" t="n">
        <v>2857</v>
      </c>
      <c r="F77" s="11" t="n">
        <v>118</v>
      </c>
      <c r="G77" s="11" t="n">
        <v>31</v>
      </c>
    </row>
    <row r="78">
      <c r="A78" s="12" t="inlineStr">
        <is>
          <t>Kansas</t>
        </is>
      </c>
      <c r="B78" s="12" t="inlineStr">
        <is>
          <t>Bred Heifers ($/cwt)</t>
        </is>
      </c>
      <c r="C78" s="11" t="inlineStr">
        <is>
          <t>$/cwt</t>
        </is>
      </c>
      <c r="D78" s="26" t="n">
        <v>278</v>
      </c>
      <c r="E78" s="27" t="n">
        <v>7</v>
      </c>
      <c r="F78" s="11" t="n">
        <v>1</v>
      </c>
      <c r="G78" s="11" t="n">
        <v>1</v>
      </c>
    </row>
    <row r="79">
      <c r="A79" s="12" t="inlineStr">
        <is>
          <t>Kansas</t>
        </is>
      </c>
      <c r="B79" s="12" t="inlineStr">
        <is>
          <t>Cow-Calf Pairs ($/head)</t>
        </is>
      </c>
      <c r="C79" s="11" t="inlineStr">
        <is>
          <t>$/head</t>
        </is>
      </c>
      <c r="D79" s="28" t="n">
        <v>3715.95</v>
      </c>
      <c r="E79" s="27" t="n">
        <v>2182</v>
      </c>
      <c r="F79" s="11" t="n">
        <v>307</v>
      </c>
      <c r="G79" s="11" t="n">
        <v>44</v>
      </c>
    </row>
    <row r="80">
      <c r="A80" s="12" t="inlineStr">
        <is>
          <t>Kansas</t>
        </is>
      </c>
      <c r="B80" s="12" t="inlineStr">
        <is>
          <t>Heifer Pairs ($/head)</t>
        </is>
      </c>
      <c r="C80" s="11" t="inlineStr">
        <is>
          <t>$/head</t>
        </is>
      </c>
      <c r="D80" s="28" t="n">
        <v>4125.51</v>
      </c>
      <c r="E80" s="27" t="n">
        <v>515</v>
      </c>
      <c r="F80" s="11" t="n">
        <v>40</v>
      </c>
      <c r="G80" s="11" t="n">
        <v>18</v>
      </c>
    </row>
    <row r="81">
      <c r="A81" s="12" t="inlineStr">
        <is>
          <t>Kansas</t>
        </is>
      </c>
      <c r="B81" s="12" t="inlineStr">
        <is>
          <t>Replacement Bulls ($/head)</t>
        </is>
      </c>
      <c r="C81" s="11" t="inlineStr">
        <is>
          <t>$/head</t>
        </is>
      </c>
      <c r="D81" s="28" t="n">
        <v>4348.17</v>
      </c>
      <c r="E81" s="27" t="n">
        <v>47</v>
      </c>
      <c r="F81" s="11" t="n">
        <v>22</v>
      </c>
      <c r="G81" s="11" t="n">
        <v>7</v>
      </c>
    </row>
    <row r="82">
      <c r="A82" s="12" t="inlineStr">
        <is>
          <t>Kentucky</t>
        </is>
      </c>
      <c r="B82" s="12" t="inlineStr">
        <is>
          <t>Overall Feeder</t>
        </is>
      </c>
      <c r="C82" s="11" t="inlineStr">
        <is>
          <t>$/cwt</t>
        </is>
      </c>
      <c r="D82" s="26" t="n">
        <v>331.32</v>
      </c>
      <c r="E82" s="27" t="n">
        <v>590161</v>
      </c>
      <c r="F82" s="11" t="n">
        <v>13551</v>
      </c>
      <c r="G82" s="11" t="n">
        <v>52</v>
      </c>
    </row>
    <row r="83">
      <c r="A83" s="12" t="inlineStr">
        <is>
          <t>Kentucky</t>
        </is>
      </c>
      <c r="B83" s="12" t="inlineStr">
        <is>
          <t>Feeder Steers</t>
        </is>
      </c>
      <c r="C83" s="11" t="inlineStr">
        <is>
          <t>$/cwt</t>
        </is>
      </c>
      <c r="D83" s="26" t="n">
        <v>337.27</v>
      </c>
      <c r="E83" s="27" t="n">
        <v>247204</v>
      </c>
      <c r="F83" s="11" t="n">
        <v>4512</v>
      </c>
      <c r="G83" s="11" t="n">
        <v>51</v>
      </c>
    </row>
    <row r="84">
      <c r="A84" s="12" t="inlineStr">
        <is>
          <t>Kentucky</t>
        </is>
      </c>
      <c r="B84" s="12" t="inlineStr">
        <is>
          <t>Feeder Heifers</t>
        </is>
      </c>
      <c r="C84" s="11" t="inlineStr">
        <is>
          <t>$/cwt</t>
        </is>
      </c>
      <c r="D84" s="26" t="n">
        <v>320.69</v>
      </c>
      <c r="E84" s="27" t="n">
        <v>246107</v>
      </c>
      <c r="F84" s="11" t="n">
        <v>4957</v>
      </c>
      <c r="G84" s="11" t="n">
        <v>52</v>
      </c>
    </row>
    <row r="85">
      <c r="A85" s="12" t="inlineStr">
        <is>
          <t>Kentucky</t>
        </is>
      </c>
      <c r="B85" s="12" t="inlineStr">
        <is>
          <t>Feeder Bulls</t>
        </is>
      </c>
      <c r="C85" s="11" t="inlineStr">
        <is>
          <t>$/cwt</t>
        </is>
      </c>
      <c r="D85" s="26" t="n">
        <v>343.14</v>
      </c>
      <c r="E85" s="27" t="n">
        <v>96850</v>
      </c>
      <c r="F85" s="11" t="n">
        <v>4082</v>
      </c>
      <c r="G85" s="11" t="n">
        <v>52</v>
      </c>
    </row>
    <row r="86">
      <c r="A86" s="12" t="inlineStr">
        <is>
          <t>Kentucky</t>
        </is>
      </c>
      <c r="B86" s="12" t="inlineStr">
        <is>
          <t>Stock Cows ($/cwt)</t>
        </is>
      </c>
      <c r="C86" s="11" t="inlineStr">
        <is>
          <t>$/cwt</t>
        </is>
      </c>
      <c r="D86" s="26" t="n">
        <v>179.7</v>
      </c>
      <c r="E86" s="27" t="n">
        <v>1758</v>
      </c>
      <c r="F86" s="11" t="n">
        <v>162</v>
      </c>
      <c r="G86" s="11" t="n">
        <v>51</v>
      </c>
    </row>
    <row r="87">
      <c r="A87" s="12" t="inlineStr">
        <is>
          <t>Kentucky</t>
        </is>
      </c>
      <c r="B87" s="12" t="inlineStr">
        <is>
          <t>Stock Cows ($/head)</t>
        </is>
      </c>
      <c r="C87" s="11" t="inlineStr">
        <is>
          <t>$/head</t>
        </is>
      </c>
      <c r="D87" s="28" t="n">
        <v>1756.5</v>
      </c>
      <c r="E87" s="27" t="n">
        <v>848</v>
      </c>
      <c r="F87" s="11" t="n">
        <v>220</v>
      </c>
      <c r="G87" s="11" t="n">
        <v>49</v>
      </c>
    </row>
    <row r="88">
      <c r="A88" s="12" t="inlineStr">
        <is>
          <t>Kentucky</t>
        </is>
      </c>
      <c r="B88" s="12" t="inlineStr">
        <is>
          <t>Bred Cows ($/head)</t>
        </is>
      </c>
      <c r="C88" s="11" t="inlineStr">
        <is>
          <t>$/head</t>
        </is>
      </c>
      <c r="D88" s="28" t="n">
        <v>2230.31</v>
      </c>
      <c r="E88" s="27" t="n">
        <v>15837</v>
      </c>
      <c r="F88" s="11" t="n">
        <v>1745</v>
      </c>
      <c r="G88" s="11" t="n">
        <v>51</v>
      </c>
    </row>
    <row r="89">
      <c r="A89" s="12" t="inlineStr">
        <is>
          <t>Kentucky</t>
        </is>
      </c>
      <c r="B89" s="12" t="inlineStr">
        <is>
          <t>Bred Heifers ($/head)</t>
        </is>
      </c>
      <c r="C89" s="11" t="inlineStr">
        <is>
          <t>$/head</t>
        </is>
      </c>
      <c r="D89" s="28" t="n">
        <v>2203.39</v>
      </c>
      <c r="E89" s="27" t="n">
        <v>2369</v>
      </c>
      <c r="F89" s="11" t="n">
        <v>493</v>
      </c>
      <c r="G89" s="11" t="n">
        <v>50</v>
      </c>
    </row>
    <row r="90">
      <c r="A90" s="12" t="inlineStr">
        <is>
          <t>Kentucky</t>
        </is>
      </c>
      <c r="B90" s="12" t="inlineStr">
        <is>
          <t>Cow-Calf Pairs ($/head)</t>
        </is>
      </c>
      <c r="C90" s="11" t="inlineStr">
        <is>
          <t>$/head</t>
        </is>
      </c>
      <c r="D90" s="28" t="n">
        <v>2975.31</v>
      </c>
      <c r="E90" s="27" t="n">
        <v>5127</v>
      </c>
      <c r="F90" s="11" t="n">
        <v>1145</v>
      </c>
      <c r="G90" s="11" t="n">
        <v>50</v>
      </c>
    </row>
    <row r="91">
      <c r="A91" s="12" t="inlineStr">
        <is>
          <t>Kentucky</t>
        </is>
      </c>
      <c r="B91" s="12" t="inlineStr">
        <is>
          <t>Heifer Pairs ($/head)</t>
        </is>
      </c>
      <c r="C91" s="11" t="inlineStr">
        <is>
          <t>$/head</t>
        </is>
      </c>
      <c r="D91" s="28" t="n">
        <v>2780.53</v>
      </c>
      <c r="E91" s="27" t="n">
        <v>138</v>
      </c>
      <c r="F91" s="11" t="n">
        <v>91</v>
      </c>
      <c r="G91" s="11" t="n">
        <v>39</v>
      </c>
    </row>
    <row r="92">
      <c r="A92" s="12" t="inlineStr">
        <is>
          <t>Kentucky</t>
        </is>
      </c>
      <c r="B92" s="12" t="inlineStr">
        <is>
          <t>Replacement Bulls ($/head)</t>
        </is>
      </c>
      <c r="C92" s="11" t="inlineStr">
        <is>
          <t>$/head</t>
        </is>
      </c>
      <c r="D92" s="28" t="n">
        <v>2728.77</v>
      </c>
      <c r="E92" s="27" t="n">
        <v>661</v>
      </c>
      <c r="F92" s="11" t="n">
        <v>121</v>
      </c>
      <c r="G92" s="11" t="n">
        <v>50</v>
      </c>
    </row>
    <row r="93">
      <c r="A93" s="12" t="inlineStr">
        <is>
          <t>Kentucky</t>
        </is>
      </c>
      <c r="B93" s="12" t="inlineStr">
        <is>
          <t>Replacement Bulls ($/cwt)</t>
        </is>
      </c>
      <c r="C93" s="11" t="inlineStr">
        <is>
          <t>$/cwt</t>
        </is>
      </c>
      <c r="D93" s="26" t="n">
        <v>217.94</v>
      </c>
      <c r="E93" s="27" t="n">
        <v>22</v>
      </c>
      <c r="F93" s="11" t="n">
        <v>18</v>
      </c>
      <c r="G93" s="11" t="n">
        <v>14</v>
      </c>
    </row>
    <row r="94">
      <c r="A94" s="12" t="inlineStr">
        <is>
          <t>Mississippi</t>
        </is>
      </c>
      <c r="B94" s="12" t="inlineStr">
        <is>
          <t>Overall Feeder</t>
        </is>
      </c>
      <c r="C94" s="11" t="inlineStr">
        <is>
          <t>$/cwt</t>
        </is>
      </c>
      <c r="D94" s="26" t="n">
        <v>350.92</v>
      </c>
      <c r="E94" s="27" t="n">
        <v>142548</v>
      </c>
      <c r="F94" s="11" t="n">
        <v>8188</v>
      </c>
      <c r="G94" s="11" t="n">
        <v>48</v>
      </c>
    </row>
    <row r="95">
      <c r="A95" s="12" t="inlineStr">
        <is>
          <t>Mississippi</t>
        </is>
      </c>
      <c r="B95" s="12" t="inlineStr">
        <is>
          <t>Feeder Steers</t>
        </is>
      </c>
      <c r="C95" s="11" t="inlineStr">
        <is>
          <t>$/cwt</t>
        </is>
      </c>
      <c r="D95" s="26" t="n">
        <v>364.17</v>
      </c>
      <c r="E95" s="27" t="n">
        <v>58981</v>
      </c>
      <c r="F95" s="11" t="n">
        <v>2982</v>
      </c>
      <c r="G95" s="11" t="n">
        <v>48</v>
      </c>
    </row>
    <row r="96">
      <c r="A96" s="12" t="inlineStr">
        <is>
          <t>Mississippi</t>
        </is>
      </c>
      <c r="B96" s="12" t="inlineStr">
        <is>
          <t>Feeder Heifers</t>
        </is>
      </c>
      <c r="C96" s="11" t="inlineStr">
        <is>
          <t>$/cwt</t>
        </is>
      </c>
      <c r="D96" s="26" t="n">
        <v>333.49</v>
      </c>
      <c r="E96" s="27" t="n">
        <v>58344</v>
      </c>
      <c r="F96" s="11" t="n">
        <v>3055</v>
      </c>
      <c r="G96" s="11" t="n">
        <v>48</v>
      </c>
    </row>
    <row r="97">
      <c r="A97" s="12" t="inlineStr">
        <is>
          <t>Mississippi</t>
        </is>
      </c>
      <c r="B97" s="12" t="inlineStr">
        <is>
          <t>Feeder Bulls</t>
        </is>
      </c>
      <c r="C97" s="11" t="inlineStr">
        <is>
          <t>$/cwt</t>
        </is>
      </c>
      <c r="D97" s="26" t="n">
        <v>360.26</v>
      </c>
      <c r="E97" s="27" t="n">
        <v>25223</v>
      </c>
      <c r="F97" s="11" t="n">
        <v>2151</v>
      </c>
      <c r="G97" s="11" t="n">
        <v>48</v>
      </c>
    </row>
    <row r="98">
      <c r="A98" s="12" t="inlineStr">
        <is>
          <t>Mississippi</t>
        </is>
      </c>
      <c r="B98" s="12" t="inlineStr">
        <is>
          <t>Feeder Cows</t>
        </is>
      </c>
      <c r="C98" s="11" t="inlineStr">
        <is>
          <t>$/cwt</t>
        </is>
      </c>
      <c r="D98" s="26" t="n">
        <v>345</v>
      </c>
      <c r="E98" s="27" t="n">
        <v>1</v>
      </c>
      <c r="F98" s="11" t="n">
        <v>1</v>
      </c>
      <c r="G98" s="11" t="n">
        <v>1</v>
      </c>
    </row>
    <row r="99">
      <c r="A99" s="12" t="inlineStr">
        <is>
          <t>Mississippi</t>
        </is>
      </c>
      <c r="B99" s="12" t="inlineStr">
        <is>
          <t>Stock Cows ($/cwt)</t>
        </is>
      </c>
      <c r="C99" s="11" t="inlineStr">
        <is>
          <t>$/cwt</t>
        </is>
      </c>
      <c r="D99" s="26" t="n">
        <v>165.16</v>
      </c>
      <c r="E99" s="27" t="n">
        <v>1645</v>
      </c>
      <c r="F99" s="11" t="n">
        <v>268</v>
      </c>
      <c r="G99" s="11" t="n">
        <v>48</v>
      </c>
    </row>
    <row r="100">
      <c r="A100" s="12" t="inlineStr">
        <is>
          <t>Mississippi</t>
        </is>
      </c>
      <c r="B100" s="12" t="inlineStr">
        <is>
          <t>Stock Cows ($/head)</t>
        </is>
      </c>
      <c r="C100" s="11" t="inlineStr">
        <is>
          <t>$/head</t>
        </is>
      </c>
      <c r="D100" s="28" t="n">
        <v>1944.72</v>
      </c>
      <c r="E100" s="27" t="n">
        <v>2113</v>
      </c>
      <c r="F100" s="11" t="n">
        <v>338</v>
      </c>
      <c r="G100" s="11" t="n">
        <v>47</v>
      </c>
    </row>
    <row r="101">
      <c r="A101" s="12" t="inlineStr">
        <is>
          <t>Mississippi</t>
        </is>
      </c>
      <c r="B101" s="12" t="inlineStr">
        <is>
          <t>Bred Cows ($/head)</t>
        </is>
      </c>
      <c r="C101" s="11" t="inlineStr">
        <is>
          <t>$/head</t>
        </is>
      </c>
      <c r="D101" s="28" t="n">
        <v>2380.12</v>
      </c>
      <c r="E101" s="27" t="n">
        <v>11421</v>
      </c>
      <c r="F101" s="11" t="n">
        <v>1810</v>
      </c>
      <c r="G101" s="11" t="n">
        <v>48</v>
      </c>
    </row>
    <row r="102">
      <c r="A102" s="12" t="inlineStr">
        <is>
          <t>Mississippi</t>
        </is>
      </c>
      <c r="B102" s="12" t="inlineStr">
        <is>
          <t>Bred Cows ($/cwt)</t>
        </is>
      </c>
      <c r="C102" s="11" t="inlineStr">
        <is>
          <t>$/cwt</t>
        </is>
      </c>
      <c r="D102" s="26" t="n">
        <v>169.93</v>
      </c>
      <c r="E102" s="27" t="n">
        <v>261</v>
      </c>
      <c r="F102" s="11" t="n">
        <v>175</v>
      </c>
      <c r="G102" s="11" t="n">
        <v>45</v>
      </c>
    </row>
    <row r="103">
      <c r="A103" s="12" t="inlineStr">
        <is>
          <t>Mississippi</t>
        </is>
      </c>
      <c r="B103" s="12" t="inlineStr">
        <is>
          <t>Bred Heifers ($/head)</t>
        </is>
      </c>
      <c r="C103" s="11" t="inlineStr">
        <is>
          <t>$/head</t>
        </is>
      </c>
      <c r="D103" s="28" t="n">
        <v>2336.47</v>
      </c>
      <c r="E103" s="27" t="n">
        <v>448</v>
      </c>
      <c r="F103" s="11" t="n">
        <v>228</v>
      </c>
      <c r="G103" s="11" t="n">
        <v>48</v>
      </c>
    </row>
    <row r="104">
      <c r="A104" s="12" t="inlineStr">
        <is>
          <t>Mississippi</t>
        </is>
      </c>
      <c r="B104" s="12" t="inlineStr">
        <is>
          <t>Bred Heifers ($/cwt)</t>
        </is>
      </c>
      <c r="C104" s="11" t="inlineStr">
        <is>
          <t>$/cwt</t>
        </is>
      </c>
      <c r="D104" s="26" t="n">
        <v>230.42</v>
      </c>
      <c r="E104" s="27" t="n">
        <v>6</v>
      </c>
      <c r="F104" s="11" t="n">
        <v>6</v>
      </c>
      <c r="G104" s="11" t="n">
        <v>6</v>
      </c>
    </row>
    <row r="105">
      <c r="A105" s="12" t="inlineStr">
        <is>
          <t>Mississippi</t>
        </is>
      </c>
      <c r="B105" s="12" t="inlineStr">
        <is>
          <t>Cow-Calf Pairs ($/head)</t>
        </is>
      </c>
      <c r="C105" s="11" t="inlineStr">
        <is>
          <t>$/head</t>
        </is>
      </c>
      <c r="D105" s="28" t="n">
        <v>2934.83</v>
      </c>
      <c r="E105" s="27" t="n">
        <v>5567</v>
      </c>
      <c r="F105" s="11" t="n">
        <v>1151</v>
      </c>
      <c r="G105" s="11" t="n">
        <v>48</v>
      </c>
    </row>
    <row r="106">
      <c r="A106" s="12" t="inlineStr">
        <is>
          <t>Mississippi</t>
        </is>
      </c>
      <c r="B106" s="12" t="inlineStr">
        <is>
          <t>Heifer Pairs ($/head)</t>
        </is>
      </c>
      <c r="C106" s="11" t="inlineStr">
        <is>
          <t>$/head</t>
        </is>
      </c>
      <c r="D106" s="28" t="n">
        <v>3028.92</v>
      </c>
      <c r="E106" s="27" t="n">
        <v>81</v>
      </c>
      <c r="F106" s="11" t="n">
        <v>33</v>
      </c>
      <c r="G106" s="11" t="n">
        <v>22</v>
      </c>
    </row>
    <row r="107">
      <c r="A107" s="12" t="inlineStr">
        <is>
          <t>Mississippi</t>
        </is>
      </c>
      <c r="B107" s="12" t="inlineStr">
        <is>
          <t>Replacement Bulls ($/head)</t>
        </is>
      </c>
      <c r="C107" s="11" t="inlineStr">
        <is>
          <t>$/head</t>
        </is>
      </c>
      <c r="D107" s="28" t="n">
        <v>2913.98</v>
      </c>
      <c r="E107" s="27" t="n">
        <v>194</v>
      </c>
      <c r="F107" s="11" t="n">
        <v>87</v>
      </c>
      <c r="G107" s="11" t="n">
        <v>44</v>
      </c>
    </row>
    <row r="108">
      <c r="A108" s="12" t="inlineStr">
        <is>
          <t>Mississippi</t>
        </is>
      </c>
      <c r="B108" s="12" t="inlineStr">
        <is>
          <t>Replacement Bulls ($/cwt)</t>
        </is>
      </c>
      <c r="C108" s="11" t="inlineStr">
        <is>
          <t>$/cwt</t>
        </is>
      </c>
      <c r="D108" s="26" t="n">
        <v>196.77</v>
      </c>
      <c r="E108" s="27" t="n">
        <v>44</v>
      </c>
      <c r="F108" s="11" t="n">
        <v>30</v>
      </c>
      <c r="G108" s="11" t="n">
        <v>24</v>
      </c>
    </row>
    <row r="109">
      <c r="A109" s="12" t="inlineStr">
        <is>
          <t>Missouri</t>
        </is>
      </c>
      <c r="B109" s="12" t="inlineStr">
        <is>
          <t>Overall Feeder</t>
        </is>
      </c>
      <c r="C109" s="11" t="inlineStr">
        <is>
          <t>$/cwt</t>
        </is>
      </c>
      <c r="D109" s="26" t="n">
        <v>346.9</v>
      </c>
      <c r="E109" s="27" t="n">
        <v>1076587</v>
      </c>
      <c r="F109" s="11" t="n">
        <v>11521</v>
      </c>
      <c r="G109" s="11" t="n">
        <v>51</v>
      </c>
    </row>
    <row r="110">
      <c r="A110" s="12" t="inlineStr">
        <is>
          <t>Missouri</t>
        </is>
      </c>
      <c r="B110" s="12" t="inlineStr">
        <is>
          <t>Feeder Steers</t>
        </is>
      </c>
      <c r="C110" s="11" t="inlineStr">
        <is>
          <t>$/cwt</t>
        </is>
      </c>
      <c r="D110" s="26" t="n">
        <v>355.48</v>
      </c>
      <c r="E110" s="27" t="n">
        <v>607726</v>
      </c>
      <c r="F110" s="11" t="n">
        <v>5005</v>
      </c>
      <c r="G110" s="11" t="n">
        <v>51</v>
      </c>
    </row>
    <row r="111">
      <c r="A111" s="12" t="inlineStr">
        <is>
          <t>Missouri</t>
        </is>
      </c>
      <c r="B111" s="12" t="inlineStr">
        <is>
          <t>Feeder Heifers</t>
        </is>
      </c>
      <c r="C111" s="11" t="inlineStr">
        <is>
          <t>$/cwt</t>
        </is>
      </c>
      <c r="D111" s="26" t="n">
        <v>334.59</v>
      </c>
      <c r="E111" s="27" t="n">
        <v>433969</v>
      </c>
      <c r="F111" s="11" t="n">
        <v>4699</v>
      </c>
      <c r="G111" s="11" t="n">
        <v>51</v>
      </c>
    </row>
    <row r="112">
      <c r="A112" s="12" t="inlineStr">
        <is>
          <t>Missouri</t>
        </is>
      </c>
      <c r="B112" s="12" t="inlineStr">
        <is>
          <t>Feeder Bulls</t>
        </is>
      </c>
      <c r="C112" s="11" t="inlineStr">
        <is>
          <t>$/cwt</t>
        </is>
      </c>
      <c r="D112" s="26" t="n">
        <v>350.73</v>
      </c>
      <c r="E112" s="27" t="n">
        <v>34892</v>
      </c>
      <c r="F112" s="11" t="n">
        <v>1817</v>
      </c>
      <c r="G112" s="11" t="n">
        <v>51</v>
      </c>
    </row>
    <row r="113">
      <c r="A113" s="12" t="inlineStr">
        <is>
          <t>Missouri</t>
        </is>
      </c>
      <c r="B113" s="12" t="inlineStr">
        <is>
          <t>Feeder Cows</t>
        </is>
      </c>
      <c r="C113" s="11" t="inlineStr">
        <is>
          <t>$/cwt</t>
        </is>
      </c>
      <c r="D113" s="26" t="n">
        <v>384</v>
      </c>
      <c r="E113" s="27" t="n">
        <v>4</v>
      </c>
      <c r="F113" s="11" t="n">
        <v>1</v>
      </c>
      <c r="G113" s="11" t="n">
        <v>1</v>
      </c>
    </row>
    <row r="114">
      <c r="A114" s="12" t="inlineStr">
        <is>
          <t>Missouri</t>
        </is>
      </c>
      <c r="B114" s="12" t="inlineStr">
        <is>
          <t>Stock Cows ($/cwt)</t>
        </is>
      </c>
      <c r="C114" s="11" t="inlineStr">
        <is>
          <t>$/cwt</t>
        </is>
      </c>
      <c r="D114" s="26" t="n">
        <v>197.04</v>
      </c>
      <c r="E114" s="27" t="n">
        <v>7191</v>
      </c>
      <c r="F114" s="11" t="n">
        <v>459</v>
      </c>
      <c r="G114" s="11" t="n">
        <v>50</v>
      </c>
    </row>
    <row r="115">
      <c r="A115" s="12" t="inlineStr">
        <is>
          <t>Missouri</t>
        </is>
      </c>
      <c r="B115" s="12" t="inlineStr">
        <is>
          <t>Stock Cows ($/head)</t>
        </is>
      </c>
      <c r="C115" s="11" t="inlineStr">
        <is>
          <t>$/head</t>
        </is>
      </c>
      <c r="D115" s="28" t="n">
        <v>2651.32</v>
      </c>
      <c r="E115" s="27" t="n">
        <v>209</v>
      </c>
      <c r="F115" s="11" t="n">
        <v>17</v>
      </c>
      <c r="G115" s="11" t="n">
        <v>8</v>
      </c>
    </row>
    <row r="116">
      <c r="A116" s="12" t="inlineStr">
        <is>
          <t>Missouri</t>
        </is>
      </c>
      <c r="B116" s="12" t="inlineStr">
        <is>
          <t>Bred Cows ($/head)</t>
        </is>
      </c>
      <c r="C116" s="11" t="inlineStr">
        <is>
          <t>$/head</t>
        </is>
      </c>
      <c r="D116" s="28" t="n">
        <v>2678.38</v>
      </c>
      <c r="E116" s="27" t="n">
        <v>35162</v>
      </c>
      <c r="F116" s="11" t="n">
        <v>1794</v>
      </c>
      <c r="G116" s="11" t="n">
        <v>51</v>
      </c>
    </row>
    <row r="117">
      <c r="A117" s="12" t="inlineStr">
        <is>
          <t>Missouri</t>
        </is>
      </c>
      <c r="B117" s="12" t="inlineStr">
        <is>
          <t>Bred Cows ($/cwt)</t>
        </is>
      </c>
      <c r="C117" s="11" t="inlineStr">
        <is>
          <t>$/cwt</t>
        </is>
      </c>
      <c r="D117" s="26" t="n">
        <v>164.63</v>
      </c>
      <c r="E117" s="27" t="n">
        <v>23</v>
      </c>
      <c r="F117" s="11" t="n">
        <v>5</v>
      </c>
      <c r="G117" s="11" t="n">
        <v>5</v>
      </c>
    </row>
    <row r="118">
      <c r="A118" s="12" t="inlineStr">
        <is>
          <t>Missouri</t>
        </is>
      </c>
      <c r="B118" s="12" t="inlineStr">
        <is>
          <t>Bred Heifers ($/head)</t>
        </is>
      </c>
      <c r="C118" s="11" t="inlineStr">
        <is>
          <t>$/head</t>
        </is>
      </c>
      <c r="D118" s="28" t="n">
        <v>3285.82</v>
      </c>
      <c r="E118" s="27" t="n">
        <v>9016</v>
      </c>
      <c r="F118" s="11" t="n">
        <v>567</v>
      </c>
      <c r="G118" s="11" t="n">
        <v>51</v>
      </c>
    </row>
    <row r="119">
      <c r="A119" s="12" t="inlineStr">
        <is>
          <t>Missouri</t>
        </is>
      </c>
      <c r="B119" s="12" t="inlineStr">
        <is>
          <t>Bred Heifers ($/cwt)</t>
        </is>
      </c>
      <c r="C119" s="11" t="inlineStr">
        <is>
          <t>$/cwt</t>
        </is>
      </c>
      <c r="D119" s="26" t="n">
        <v>187.75</v>
      </c>
      <c r="E119" s="27" t="n">
        <v>2</v>
      </c>
      <c r="F119" s="11" t="n">
        <v>2</v>
      </c>
      <c r="G119" s="11" t="n">
        <v>1</v>
      </c>
    </row>
    <row r="120">
      <c r="A120" s="12" t="inlineStr">
        <is>
          <t>Missouri</t>
        </is>
      </c>
      <c r="B120" s="12" t="inlineStr">
        <is>
          <t>Cow-Calf Pairs ($/head)</t>
        </is>
      </c>
      <c r="C120" s="11" t="inlineStr">
        <is>
          <t>$/head</t>
        </is>
      </c>
      <c r="D120" s="28" t="n">
        <v>3485.93</v>
      </c>
      <c r="E120" s="27" t="n">
        <v>10156</v>
      </c>
      <c r="F120" s="11" t="n">
        <v>1273</v>
      </c>
      <c r="G120" s="11" t="n">
        <v>51</v>
      </c>
    </row>
    <row r="121">
      <c r="A121" s="12" t="inlineStr">
        <is>
          <t>Missouri</t>
        </is>
      </c>
      <c r="B121" s="12" t="inlineStr">
        <is>
          <t>Heifer Pairs ($/head)</t>
        </is>
      </c>
      <c r="C121" s="11" t="inlineStr">
        <is>
          <t>$/head</t>
        </is>
      </c>
      <c r="D121" s="28" t="n">
        <v>4336.34</v>
      </c>
      <c r="E121" s="27" t="n">
        <v>1076</v>
      </c>
      <c r="F121" s="11" t="n">
        <v>81</v>
      </c>
      <c r="G121" s="11" t="n">
        <v>33</v>
      </c>
    </row>
    <row r="122">
      <c r="A122" s="12" t="inlineStr">
        <is>
          <t>Missouri</t>
        </is>
      </c>
      <c r="B122" s="12" t="inlineStr">
        <is>
          <t>Replacement Bulls ($/head)</t>
        </is>
      </c>
      <c r="C122" s="11" t="inlineStr">
        <is>
          <t>$/head</t>
        </is>
      </c>
      <c r="D122" s="28" t="n">
        <v>3460.56</v>
      </c>
      <c r="E122" s="27" t="n">
        <v>511</v>
      </c>
      <c r="F122" s="11" t="n">
        <v>144</v>
      </c>
      <c r="G122" s="11" t="n">
        <v>48</v>
      </c>
    </row>
    <row r="123">
      <c r="A123" s="12" t="inlineStr">
        <is>
          <t>Montana</t>
        </is>
      </c>
      <c r="B123" s="12" t="inlineStr">
        <is>
          <t>Overall Feeder</t>
        </is>
      </c>
      <c r="C123" s="11" t="inlineStr">
        <is>
          <t>$/cwt</t>
        </is>
      </c>
      <c r="D123" s="26" t="n">
        <v>384.92</v>
      </c>
      <c r="E123" s="27" t="n">
        <v>130171</v>
      </c>
      <c r="F123" s="11" t="n">
        <v>4338</v>
      </c>
      <c r="G123" s="11" t="n">
        <v>49</v>
      </c>
    </row>
    <row r="124">
      <c r="A124" s="12" t="inlineStr">
        <is>
          <t>Montana</t>
        </is>
      </c>
      <c r="B124" s="12" t="inlineStr">
        <is>
          <t>Feeder Steers</t>
        </is>
      </c>
      <c r="C124" s="11" t="inlineStr">
        <is>
          <t>$/cwt</t>
        </is>
      </c>
      <c r="D124" s="26" t="n">
        <v>406.64</v>
      </c>
      <c r="E124" s="27" t="n">
        <v>65410</v>
      </c>
      <c r="F124" s="11" t="n">
        <v>1719</v>
      </c>
      <c r="G124" s="11" t="n">
        <v>49</v>
      </c>
    </row>
    <row r="125">
      <c r="A125" s="12" t="inlineStr">
        <is>
          <t>Montana</t>
        </is>
      </c>
      <c r="B125" s="12" t="inlineStr">
        <is>
          <t>Feeder Heifers</t>
        </is>
      </c>
      <c r="C125" s="11" t="inlineStr">
        <is>
          <t>$/cwt</t>
        </is>
      </c>
      <c r="D125" s="26" t="n">
        <v>364.49</v>
      </c>
      <c r="E125" s="27" t="n">
        <v>60810</v>
      </c>
      <c r="F125" s="11" t="n">
        <v>1845</v>
      </c>
      <c r="G125" s="11" t="n">
        <v>49</v>
      </c>
    </row>
    <row r="126">
      <c r="A126" s="12" t="inlineStr">
        <is>
          <t>Montana</t>
        </is>
      </c>
      <c r="B126" s="12" t="inlineStr">
        <is>
          <t>Feeder Bulls</t>
        </is>
      </c>
      <c r="C126" s="11" t="inlineStr">
        <is>
          <t>$/cwt</t>
        </is>
      </c>
      <c r="D126" s="26" t="n">
        <v>339.85</v>
      </c>
      <c r="E126" s="27" t="n">
        <v>3951</v>
      </c>
      <c r="F126" s="11" t="n">
        <v>774</v>
      </c>
      <c r="G126" s="11" t="n">
        <v>49</v>
      </c>
    </row>
    <row r="127">
      <c r="A127" s="12" t="inlineStr">
        <is>
          <t>Montana</t>
        </is>
      </c>
      <c r="B127" s="12" t="inlineStr">
        <is>
          <t>Feeder Cows</t>
        </is>
      </c>
      <c r="C127" s="11" t="inlineStr">
        <is>
          <t>$/cwt</t>
        </is>
      </c>
      <c r="D127" s="26" t="n">
        <v>480</v>
      </c>
      <c r="E127" s="27" t="n">
        <v>8</v>
      </c>
      <c r="F127" s="11" t="n">
        <v>1</v>
      </c>
      <c r="G127" s="11" t="n">
        <v>1</v>
      </c>
    </row>
    <row r="128">
      <c r="A128" s="12" t="inlineStr">
        <is>
          <t>Montana</t>
        </is>
      </c>
      <c r="B128" s="12" t="inlineStr">
        <is>
          <t>Stock Cows ($/cwt)</t>
        </is>
      </c>
      <c r="C128" s="11" t="inlineStr">
        <is>
          <t>$/cwt</t>
        </is>
      </c>
      <c r="D128" s="26" t="n">
        <v>227.4</v>
      </c>
      <c r="E128" s="27" t="n">
        <v>15932</v>
      </c>
      <c r="F128" s="11" t="n">
        <v>426</v>
      </c>
      <c r="G128" s="11" t="n">
        <v>49</v>
      </c>
    </row>
    <row r="129">
      <c r="A129" s="12" t="inlineStr">
        <is>
          <t>Montana</t>
        </is>
      </c>
      <c r="B129" s="12" t="inlineStr">
        <is>
          <t>Stock Cows ($/head)</t>
        </is>
      </c>
      <c r="C129" s="11" t="inlineStr">
        <is>
          <t>$/head</t>
        </is>
      </c>
      <c r="D129" s="28" t="n">
        <v>2496.28</v>
      </c>
      <c r="E129" s="27" t="n">
        <v>65</v>
      </c>
      <c r="F129" s="11" t="n">
        <v>5</v>
      </c>
      <c r="G129" s="11" t="n">
        <v>3</v>
      </c>
    </row>
    <row r="130">
      <c r="A130" s="12" t="inlineStr">
        <is>
          <t>Montana</t>
        </is>
      </c>
      <c r="B130" s="12" t="inlineStr">
        <is>
          <t>Bred Cows ($/head)</t>
        </is>
      </c>
      <c r="C130" s="11" t="inlineStr">
        <is>
          <t>$/head</t>
        </is>
      </c>
      <c r="D130" s="28" t="n">
        <v>3289.71</v>
      </c>
      <c r="E130" s="27" t="n">
        <v>20961</v>
      </c>
      <c r="F130" s="11" t="n">
        <v>595</v>
      </c>
      <c r="G130" s="11" t="n">
        <v>43</v>
      </c>
    </row>
    <row r="131">
      <c r="A131" s="12" t="inlineStr">
        <is>
          <t>Montana</t>
        </is>
      </c>
      <c r="B131" s="12" t="inlineStr">
        <is>
          <t>Bred Cows ($/cwt)</t>
        </is>
      </c>
      <c r="C131" s="11" t="inlineStr">
        <is>
          <t>$/cwt</t>
        </is>
      </c>
      <c r="D131" s="26" t="n">
        <v>189.58</v>
      </c>
      <c r="E131" s="27" t="n">
        <v>439</v>
      </c>
      <c r="F131" s="11" t="n">
        <v>51</v>
      </c>
      <c r="G131" s="11" t="n">
        <v>17</v>
      </c>
    </row>
    <row r="132">
      <c r="A132" s="12" t="inlineStr">
        <is>
          <t>Montana</t>
        </is>
      </c>
      <c r="B132" s="12" t="inlineStr">
        <is>
          <t>Bred Heifers ($/head)</t>
        </is>
      </c>
      <c r="C132" s="11" t="inlineStr">
        <is>
          <t>$/head</t>
        </is>
      </c>
      <c r="D132" s="28" t="n">
        <v>3852.67</v>
      </c>
      <c r="E132" s="27" t="n">
        <v>7422</v>
      </c>
      <c r="F132" s="11" t="n">
        <v>87</v>
      </c>
      <c r="G132" s="11" t="n">
        <v>29</v>
      </c>
    </row>
    <row r="133">
      <c r="A133" s="12" t="inlineStr">
        <is>
          <t>Montana</t>
        </is>
      </c>
      <c r="B133" s="12" t="inlineStr">
        <is>
          <t>Bred Heifers ($/cwt)</t>
        </is>
      </c>
      <c r="C133" s="11" t="inlineStr">
        <is>
          <t>$/cwt</t>
        </is>
      </c>
      <c r="D133" s="26" t="n">
        <v>259.61</v>
      </c>
      <c r="E133" s="27" t="n">
        <v>7</v>
      </c>
      <c r="F133" s="11" t="n">
        <v>5</v>
      </c>
      <c r="G133" s="11" t="n">
        <v>4</v>
      </c>
    </row>
    <row r="134">
      <c r="A134" s="12" t="inlineStr">
        <is>
          <t>Montana</t>
        </is>
      </c>
      <c r="B134" s="12" t="inlineStr">
        <is>
          <t>Cow-Calf Pairs ($/head)</t>
        </is>
      </c>
      <c r="C134" s="11" t="inlineStr">
        <is>
          <t>$/head</t>
        </is>
      </c>
      <c r="D134" s="28" t="n">
        <v>3638.85</v>
      </c>
      <c r="E134" s="27" t="n">
        <v>1738</v>
      </c>
      <c r="F134" s="11" t="n">
        <v>134</v>
      </c>
      <c r="G134" s="11" t="n">
        <v>27</v>
      </c>
    </row>
    <row r="135">
      <c r="A135" s="12" t="inlineStr">
        <is>
          <t>Montana</t>
        </is>
      </c>
      <c r="B135" s="12" t="inlineStr">
        <is>
          <t>Heifer Pairs ($/head)</t>
        </is>
      </c>
      <c r="C135" s="11" t="inlineStr">
        <is>
          <t>$/head</t>
        </is>
      </c>
      <c r="D135" s="28" t="n">
        <v>4204.5</v>
      </c>
      <c r="E135" s="27" t="n">
        <v>590</v>
      </c>
      <c r="F135" s="11" t="n">
        <v>23</v>
      </c>
      <c r="G135" s="11" t="n">
        <v>10</v>
      </c>
    </row>
    <row r="136">
      <c r="A136" s="12" t="inlineStr">
        <is>
          <t>Montana</t>
        </is>
      </c>
      <c r="B136" s="12" t="inlineStr">
        <is>
          <t>Replacement Bulls ($/head)</t>
        </is>
      </c>
      <c r="C136" s="11" t="inlineStr">
        <is>
          <t>$/head</t>
        </is>
      </c>
      <c r="D136" s="28" t="n">
        <v>3041.55</v>
      </c>
      <c r="E136" s="27" t="n">
        <v>59</v>
      </c>
      <c r="F136" s="11" t="n">
        <v>6</v>
      </c>
      <c r="G136" s="11" t="n">
        <v>4</v>
      </c>
    </row>
    <row r="137">
      <c r="A137" s="12" t="inlineStr">
        <is>
          <t>Montana</t>
        </is>
      </c>
      <c r="B137" s="12" t="inlineStr">
        <is>
          <t>Replacement Bulls ($/cwt)</t>
        </is>
      </c>
      <c r="C137" s="11" t="inlineStr">
        <is>
          <t>$/cwt</t>
        </is>
      </c>
      <c r="D137" s="26" t="n">
        <v>213.77</v>
      </c>
      <c r="E137" s="27" t="n">
        <v>28</v>
      </c>
      <c r="F137" s="11" t="n">
        <v>5</v>
      </c>
      <c r="G137" s="11" t="n">
        <v>4</v>
      </c>
    </row>
    <row r="138">
      <c r="A138" s="12" t="inlineStr">
        <is>
          <t>Nebraska</t>
        </is>
      </c>
      <c r="B138" s="12" t="inlineStr">
        <is>
          <t>Overall Feeder</t>
        </is>
      </c>
      <c r="C138" s="11" t="inlineStr">
        <is>
          <t>$/cwt</t>
        </is>
      </c>
      <c r="D138" s="26" t="n">
        <v>358.83</v>
      </c>
      <c r="E138" s="27" t="n">
        <v>721547</v>
      </c>
      <c r="F138" s="11" t="n">
        <v>4087</v>
      </c>
      <c r="G138" s="11" t="n">
        <v>52</v>
      </c>
    </row>
    <row r="139">
      <c r="A139" s="12" t="inlineStr">
        <is>
          <t>Nebraska</t>
        </is>
      </c>
      <c r="B139" s="12" t="inlineStr">
        <is>
          <t>Feeder Steers</t>
        </is>
      </c>
      <c r="C139" s="11" t="inlineStr">
        <is>
          <t>$/cwt</t>
        </is>
      </c>
      <c r="D139" s="26" t="n">
        <v>370.26</v>
      </c>
      <c r="E139" s="27" t="n">
        <v>436037</v>
      </c>
      <c r="F139" s="11" t="n">
        <v>2031</v>
      </c>
      <c r="G139" s="11" t="n">
        <v>52</v>
      </c>
    </row>
    <row r="140">
      <c r="A140" s="12" t="inlineStr">
        <is>
          <t>Nebraska</t>
        </is>
      </c>
      <c r="B140" s="12" t="inlineStr">
        <is>
          <t>Feeder Heifers</t>
        </is>
      </c>
      <c r="C140" s="11" t="inlineStr">
        <is>
          <t>$/cwt</t>
        </is>
      </c>
      <c r="D140" s="26" t="n">
        <v>341.24</v>
      </c>
      <c r="E140" s="27" t="n">
        <v>284231</v>
      </c>
      <c r="F140" s="11" t="n">
        <v>1937</v>
      </c>
      <c r="G140" s="11" t="n">
        <v>52</v>
      </c>
    </row>
    <row r="141">
      <c r="A141" s="12" t="inlineStr">
        <is>
          <t>Nebraska</t>
        </is>
      </c>
      <c r="B141" s="12" t="inlineStr">
        <is>
          <t>Feeder Bulls</t>
        </is>
      </c>
      <c r="C141" s="11" t="inlineStr">
        <is>
          <t>$/cwt</t>
        </is>
      </c>
      <c r="D141" s="26" t="n">
        <v>370.89</v>
      </c>
      <c r="E141" s="27" t="n">
        <v>1279</v>
      </c>
      <c r="F141" s="11" t="n">
        <v>119</v>
      </c>
      <c r="G141" s="11" t="n">
        <v>39</v>
      </c>
    </row>
    <row r="142">
      <c r="A142" s="12" t="inlineStr">
        <is>
          <t>Nebraska</t>
        </is>
      </c>
      <c r="B142" s="12" t="inlineStr">
        <is>
          <t>Bred Cows ($/head)</t>
        </is>
      </c>
      <c r="C142" s="11" t="inlineStr">
        <is>
          <t>$/head</t>
        </is>
      </c>
      <c r="D142" s="28" t="n">
        <v>3236.05</v>
      </c>
      <c r="E142" s="27" t="n">
        <v>11623</v>
      </c>
      <c r="F142" s="11" t="n">
        <v>197</v>
      </c>
      <c r="G142" s="11" t="n">
        <v>30</v>
      </c>
    </row>
    <row r="143">
      <c r="A143" s="12" t="inlineStr">
        <is>
          <t>Nebraska</t>
        </is>
      </c>
      <c r="B143" s="12" t="inlineStr">
        <is>
          <t>Bred Heifers ($/head)</t>
        </is>
      </c>
      <c r="C143" s="11" t="inlineStr">
        <is>
          <t>$/head</t>
        </is>
      </c>
      <c r="D143" s="28" t="n">
        <v>4041.35</v>
      </c>
      <c r="E143" s="27" t="n">
        <v>7347</v>
      </c>
      <c r="F143" s="11" t="n">
        <v>32</v>
      </c>
      <c r="G143" s="11" t="n">
        <v>17</v>
      </c>
    </row>
    <row r="144">
      <c r="A144" s="12" t="inlineStr">
        <is>
          <t>Nebraska</t>
        </is>
      </c>
      <c r="B144" s="12" t="inlineStr">
        <is>
          <t>Cow-Calf Pairs ($/head)</t>
        </is>
      </c>
      <c r="C144" s="11" t="inlineStr">
        <is>
          <t>$/head</t>
        </is>
      </c>
      <c r="D144" s="28" t="n">
        <v>3685.85</v>
      </c>
      <c r="E144" s="27" t="n">
        <v>1580</v>
      </c>
      <c r="F144" s="11" t="n">
        <v>75</v>
      </c>
      <c r="G144" s="11" t="n">
        <v>17</v>
      </c>
    </row>
    <row r="145">
      <c r="A145" s="12" t="inlineStr">
        <is>
          <t>Nebraska</t>
        </is>
      </c>
      <c r="B145" s="12" t="inlineStr">
        <is>
          <t>Heifer Pairs ($/head)</t>
        </is>
      </c>
      <c r="C145" s="11" t="inlineStr">
        <is>
          <t>$/head</t>
        </is>
      </c>
      <c r="D145" s="28" t="n">
        <v>4237.44</v>
      </c>
      <c r="E145" s="27" t="n">
        <v>310</v>
      </c>
      <c r="F145" s="11" t="n">
        <v>12</v>
      </c>
      <c r="G145" s="11" t="n">
        <v>8</v>
      </c>
    </row>
    <row r="146">
      <c r="A146" s="12" t="inlineStr">
        <is>
          <t>New York</t>
        </is>
      </c>
      <c r="B146" s="12" t="inlineStr">
        <is>
          <t>Overall Feeder</t>
        </is>
      </c>
      <c r="C146" s="11" t="inlineStr">
        <is>
          <t>$/cwt</t>
        </is>
      </c>
      <c r="D146" s="26" t="n">
        <v>301.73</v>
      </c>
      <c r="E146" s="27" t="n">
        <v>8778</v>
      </c>
      <c r="F146" s="11" t="n">
        <v>1550</v>
      </c>
      <c r="G146" s="11" t="n">
        <v>42</v>
      </c>
    </row>
    <row r="147">
      <c r="A147" s="12" t="inlineStr">
        <is>
          <t>New York</t>
        </is>
      </c>
      <c r="B147" s="12" t="inlineStr">
        <is>
          <t>Feeder Steers</t>
        </is>
      </c>
      <c r="C147" s="11" t="inlineStr">
        <is>
          <t>$/cwt</t>
        </is>
      </c>
      <c r="D147" s="26" t="n">
        <v>312.65</v>
      </c>
      <c r="E147" s="27" t="n">
        <v>4055</v>
      </c>
      <c r="F147" s="11" t="n">
        <v>591</v>
      </c>
      <c r="G147" s="11" t="n">
        <v>32</v>
      </c>
    </row>
    <row r="148">
      <c r="A148" s="12" t="inlineStr">
        <is>
          <t>New York</t>
        </is>
      </c>
      <c r="B148" s="12" t="inlineStr">
        <is>
          <t>Feeder Heifers</t>
        </is>
      </c>
      <c r="C148" s="11" t="inlineStr">
        <is>
          <t>$/cwt</t>
        </is>
      </c>
      <c r="D148" s="26" t="n">
        <v>292.31</v>
      </c>
      <c r="E148" s="27" t="n">
        <v>3456</v>
      </c>
      <c r="F148" s="11" t="n">
        <v>562</v>
      </c>
      <c r="G148" s="11" t="n">
        <v>36</v>
      </c>
    </row>
    <row r="149">
      <c r="A149" s="12" t="inlineStr">
        <is>
          <t>New York</t>
        </is>
      </c>
      <c r="B149" s="12" t="inlineStr">
        <is>
          <t>Feeder Bulls</t>
        </is>
      </c>
      <c r="C149" s="11" t="inlineStr">
        <is>
          <t>$/cwt</t>
        </is>
      </c>
      <c r="D149" s="26" t="n">
        <v>292.52</v>
      </c>
      <c r="E149" s="27" t="n">
        <v>1267</v>
      </c>
      <c r="F149" s="11" t="n">
        <v>397</v>
      </c>
      <c r="G149" s="11" t="n">
        <v>41</v>
      </c>
    </row>
    <row r="150">
      <c r="A150" s="12" t="inlineStr">
        <is>
          <t>New York</t>
        </is>
      </c>
      <c r="B150" s="12" t="inlineStr">
        <is>
          <t>Stock Cows ($/cwt)</t>
        </is>
      </c>
      <c r="C150" s="11" t="inlineStr">
        <is>
          <t>$/cwt</t>
        </is>
      </c>
      <c r="D150" s="26" t="n">
        <v>140.06</v>
      </c>
      <c r="E150" s="27" t="n">
        <v>310</v>
      </c>
      <c r="F150" s="11" t="n">
        <v>25</v>
      </c>
      <c r="G150" s="11" t="n">
        <v>17</v>
      </c>
    </row>
    <row r="151">
      <c r="A151" s="12" t="inlineStr">
        <is>
          <t>New York</t>
        </is>
      </c>
      <c r="B151" s="12" t="inlineStr">
        <is>
          <t>Stock Cows ($/head)</t>
        </is>
      </c>
      <c r="C151" s="11" t="inlineStr">
        <is>
          <t>$/head</t>
        </is>
      </c>
      <c r="D151" s="28" t="n">
        <v>1698.68</v>
      </c>
      <c r="E151" s="27" t="n">
        <v>20</v>
      </c>
      <c r="F151" s="11" t="n">
        <v>6</v>
      </c>
      <c r="G151" s="11" t="n">
        <v>6</v>
      </c>
    </row>
    <row r="152">
      <c r="A152" s="12" t="inlineStr">
        <is>
          <t>New York</t>
        </is>
      </c>
      <c r="B152" s="12" t="inlineStr">
        <is>
          <t>Bred Cows ($/head)</t>
        </is>
      </c>
      <c r="C152" s="11" t="inlineStr">
        <is>
          <t>$/head</t>
        </is>
      </c>
      <c r="D152" s="28" t="n">
        <v>2012.02</v>
      </c>
      <c r="E152" s="27" t="n">
        <v>571</v>
      </c>
      <c r="F152" s="11" t="n">
        <v>85</v>
      </c>
      <c r="G152" s="11" t="n">
        <v>23</v>
      </c>
    </row>
    <row r="153">
      <c r="A153" s="12" t="inlineStr">
        <is>
          <t>New York</t>
        </is>
      </c>
      <c r="B153" s="12" t="inlineStr">
        <is>
          <t>Bred Heifers ($/head)</t>
        </is>
      </c>
      <c r="C153" s="11" t="inlineStr">
        <is>
          <t>$/head</t>
        </is>
      </c>
      <c r="D153" s="28" t="n">
        <v>2085.64</v>
      </c>
      <c r="E153" s="27" t="n">
        <v>92</v>
      </c>
      <c r="F153" s="11" t="n">
        <v>44</v>
      </c>
      <c r="G153" s="11" t="n">
        <v>19</v>
      </c>
    </row>
    <row r="154">
      <c r="A154" s="12" t="inlineStr">
        <is>
          <t>New York</t>
        </is>
      </c>
      <c r="B154" s="12" t="inlineStr">
        <is>
          <t>Cow-Calf Pairs ($/head)</t>
        </is>
      </c>
      <c r="C154" s="11" t="inlineStr">
        <is>
          <t>$/head</t>
        </is>
      </c>
      <c r="D154" s="28" t="n">
        <v>2674.85</v>
      </c>
      <c r="E154" s="27" t="n">
        <v>78</v>
      </c>
      <c r="F154" s="11" t="n">
        <v>23</v>
      </c>
      <c r="G154" s="11" t="n">
        <v>19</v>
      </c>
    </row>
    <row r="155">
      <c r="A155" s="12" t="inlineStr">
        <is>
          <t>New York</t>
        </is>
      </c>
      <c r="B155" s="12" t="inlineStr">
        <is>
          <t>Replacement Bulls ($/head)</t>
        </is>
      </c>
      <c r="C155" s="11" t="inlineStr">
        <is>
          <t>$/head</t>
        </is>
      </c>
      <c r="D155" s="28" t="n">
        <v>2658.02</v>
      </c>
      <c r="E155" s="27" t="n">
        <v>17</v>
      </c>
      <c r="F155" s="11" t="n">
        <v>6</v>
      </c>
      <c r="G155" s="11" t="n">
        <v>3</v>
      </c>
    </row>
    <row r="156">
      <c r="A156" s="12" t="inlineStr">
        <is>
          <t>New York</t>
        </is>
      </c>
      <c r="B156" s="12" t="inlineStr">
        <is>
          <t>Replacement Bulls ($/cwt)</t>
        </is>
      </c>
      <c r="C156" s="11" t="inlineStr">
        <is>
          <t>$/cwt</t>
        </is>
      </c>
      <c r="D156" s="26" t="n">
        <v>177.4</v>
      </c>
      <c r="E156" s="27" t="n">
        <v>100</v>
      </c>
      <c r="F156" s="11" t="n">
        <v>24</v>
      </c>
      <c r="G156" s="11" t="n">
        <v>21</v>
      </c>
    </row>
    <row r="157">
      <c r="A157" s="12" t="inlineStr">
        <is>
          <t>North Carolina</t>
        </is>
      </c>
      <c r="B157" s="12" t="inlineStr">
        <is>
          <t>Overall Feeder</t>
        </is>
      </c>
      <c r="C157" s="11" t="inlineStr">
        <is>
          <t>$/cwt</t>
        </is>
      </c>
      <c r="D157" s="26" t="n">
        <v>315.43</v>
      </c>
      <c r="E157" s="27" t="n">
        <v>119175</v>
      </c>
      <c r="F157" s="11" t="n">
        <v>8925</v>
      </c>
      <c r="G157" s="11" t="n">
        <v>48</v>
      </c>
    </row>
    <row r="158">
      <c r="A158" s="12" t="inlineStr">
        <is>
          <t>North Carolina</t>
        </is>
      </c>
      <c r="B158" s="12" t="inlineStr">
        <is>
          <t>Feeder Steers</t>
        </is>
      </c>
      <c r="C158" s="11" t="inlineStr">
        <is>
          <t>$/cwt</t>
        </is>
      </c>
      <c r="D158" s="26" t="n">
        <v>340.67</v>
      </c>
      <c r="E158" s="27" t="n">
        <v>25101</v>
      </c>
      <c r="F158" s="11" t="n">
        <v>2278</v>
      </c>
      <c r="G158" s="11" t="n">
        <v>48</v>
      </c>
    </row>
    <row r="159">
      <c r="A159" s="12" t="inlineStr">
        <is>
          <t>North Carolina</t>
        </is>
      </c>
      <c r="B159" s="12" t="inlineStr">
        <is>
          <t>Feeder Heifers</t>
        </is>
      </c>
      <c r="C159" s="11" t="inlineStr">
        <is>
          <t>$/cwt</t>
        </is>
      </c>
      <c r="D159" s="26" t="n">
        <v>301.01</v>
      </c>
      <c r="E159" s="27" t="n">
        <v>51730</v>
      </c>
      <c r="F159" s="11" t="n">
        <v>3403</v>
      </c>
      <c r="G159" s="11" t="n">
        <v>48</v>
      </c>
    </row>
    <row r="160">
      <c r="A160" s="12" t="inlineStr">
        <is>
          <t>North Carolina</t>
        </is>
      </c>
      <c r="B160" s="12" t="inlineStr">
        <is>
          <t>Feeder Bulls</t>
        </is>
      </c>
      <c r="C160" s="11" t="inlineStr">
        <is>
          <t>$/cwt</t>
        </is>
      </c>
      <c r="D160" s="26" t="n">
        <v>318.1</v>
      </c>
      <c r="E160" s="27" t="n">
        <v>42344</v>
      </c>
      <c r="F160" s="11" t="n">
        <v>3244</v>
      </c>
      <c r="G160" s="11" t="n">
        <v>48</v>
      </c>
    </row>
    <row r="161">
      <c r="A161" s="12" t="inlineStr">
        <is>
          <t>North Carolina</t>
        </is>
      </c>
      <c r="B161" s="12" t="inlineStr">
        <is>
          <t>Stock Cows ($/cwt)</t>
        </is>
      </c>
      <c r="C161" s="11" t="inlineStr">
        <is>
          <t>$/cwt</t>
        </is>
      </c>
      <c r="D161" s="26" t="n">
        <v>184.35</v>
      </c>
      <c r="E161" s="27" t="n">
        <v>116</v>
      </c>
      <c r="F161" s="11" t="n">
        <v>64</v>
      </c>
      <c r="G161" s="11" t="n">
        <v>22</v>
      </c>
    </row>
    <row r="162">
      <c r="A162" s="12" t="inlineStr">
        <is>
          <t>North Carolina</t>
        </is>
      </c>
      <c r="B162" s="12" t="inlineStr">
        <is>
          <t>Stock Cows ($/head)</t>
        </is>
      </c>
      <c r="C162" s="11" t="inlineStr">
        <is>
          <t>$/head</t>
        </is>
      </c>
      <c r="D162" s="28" t="n">
        <v>1230.68</v>
      </c>
      <c r="E162" s="27" t="n">
        <v>160</v>
      </c>
      <c r="F162" s="11" t="n">
        <v>130</v>
      </c>
      <c r="G162" s="11" t="n">
        <v>45</v>
      </c>
    </row>
    <row r="163">
      <c r="A163" s="12" t="inlineStr">
        <is>
          <t>North Carolina</t>
        </is>
      </c>
      <c r="B163" s="12" t="inlineStr">
        <is>
          <t>Bred Cows ($/head)</t>
        </is>
      </c>
      <c r="C163" s="11" t="inlineStr">
        <is>
          <t>$/head</t>
        </is>
      </c>
      <c r="D163" s="28" t="n">
        <v>1908.59</v>
      </c>
      <c r="E163" s="27" t="n">
        <v>2192</v>
      </c>
      <c r="F163" s="11" t="n">
        <v>555</v>
      </c>
      <c r="G163" s="11" t="n">
        <v>48</v>
      </c>
    </row>
    <row r="164">
      <c r="A164" s="12" t="inlineStr">
        <is>
          <t>North Carolina</t>
        </is>
      </c>
      <c r="B164" s="12" t="inlineStr">
        <is>
          <t>Bred Cows ($/cwt)</t>
        </is>
      </c>
      <c r="C164" s="11" t="inlineStr">
        <is>
          <t>$/cwt</t>
        </is>
      </c>
      <c r="D164" s="26" t="n">
        <v>187.17</v>
      </c>
      <c r="E164" s="27" t="n">
        <v>43</v>
      </c>
      <c r="F164" s="11" t="n">
        <v>22</v>
      </c>
      <c r="G164" s="11" t="n">
        <v>6</v>
      </c>
    </row>
    <row r="165">
      <c r="A165" s="12" t="inlineStr">
        <is>
          <t>North Carolina</t>
        </is>
      </c>
      <c r="B165" s="12" t="inlineStr">
        <is>
          <t>Bred Heifers ($/head)</t>
        </is>
      </c>
      <c r="C165" s="11" t="inlineStr">
        <is>
          <t>$/head</t>
        </is>
      </c>
      <c r="D165" s="28" t="n">
        <v>1755.74</v>
      </c>
      <c r="E165" s="27" t="n">
        <v>15</v>
      </c>
      <c r="F165" s="11" t="n">
        <v>14</v>
      </c>
      <c r="G165" s="11" t="n">
        <v>10</v>
      </c>
    </row>
    <row r="166">
      <c r="A166" s="12" t="inlineStr">
        <is>
          <t>North Carolina</t>
        </is>
      </c>
      <c r="B166" s="12" t="inlineStr">
        <is>
          <t>Cow-Calf Pairs ($/head)</t>
        </is>
      </c>
      <c r="C166" s="11" t="inlineStr">
        <is>
          <t>$/head</t>
        </is>
      </c>
      <c r="D166" s="28" t="n">
        <v>2446.86</v>
      </c>
      <c r="E166" s="27" t="n">
        <v>1215</v>
      </c>
      <c r="F166" s="11" t="n">
        <v>475</v>
      </c>
      <c r="G166" s="11" t="n">
        <v>48</v>
      </c>
    </row>
    <row r="167">
      <c r="A167" s="12" t="inlineStr">
        <is>
          <t>North Dakota</t>
        </is>
      </c>
      <c r="B167" s="12" t="inlineStr">
        <is>
          <t>Overall Feeder</t>
        </is>
      </c>
      <c r="C167" s="11" t="inlineStr">
        <is>
          <t>$/cwt</t>
        </is>
      </c>
      <c r="D167" s="26" t="n">
        <v>366.03</v>
      </c>
      <c r="E167" s="27" t="n">
        <v>166857</v>
      </c>
      <c r="F167" s="11" t="n">
        <v>1215</v>
      </c>
      <c r="G167" s="11" t="n">
        <v>29</v>
      </c>
    </row>
    <row r="168">
      <c r="A168" s="12" t="inlineStr">
        <is>
          <t>North Dakota</t>
        </is>
      </c>
      <c r="B168" s="12" t="inlineStr">
        <is>
          <t>Feeder Steers</t>
        </is>
      </c>
      <c r="C168" s="11" t="inlineStr">
        <is>
          <t>$/cwt</t>
        </is>
      </c>
      <c r="D168" s="26" t="n">
        <v>378.84</v>
      </c>
      <c r="E168" s="27" t="n">
        <v>99935</v>
      </c>
      <c r="F168" s="11" t="n">
        <v>568</v>
      </c>
      <c r="G168" s="11" t="n">
        <v>29</v>
      </c>
    </row>
    <row r="169">
      <c r="A169" s="12" t="inlineStr">
        <is>
          <t>North Dakota</t>
        </is>
      </c>
      <c r="B169" s="12" t="inlineStr">
        <is>
          <t>Feeder Heifers</t>
        </is>
      </c>
      <c r="C169" s="11" t="inlineStr">
        <is>
          <t>$/cwt</t>
        </is>
      </c>
      <c r="D169" s="26" t="n">
        <v>347</v>
      </c>
      <c r="E169" s="27" t="n">
        <v>66260</v>
      </c>
      <c r="F169" s="11" t="n">
        <v>593</v>
      </c>
      <c r="G169" s="11" t="n">
        <v>29</v>
      </c>
    </row>
    <row r="170">
      <c r="A170" s="12" t="inlineStr">
        <is>
          <t>North Dakota</t>
        </is>
      </c>
      <c r="B170" s="12" t="inlineStr">
        <is>
          <t>Feeder Bulls</t>
        </is>
      </c>
      <c r="C170" s="11" t="inlineStr">
        <is>
          <t>$/cwt</t>
        </is>
      </c>
      <c r="D170" s="26" t="n">
        <v>337.21</v>
      </c>
      <c r="E170" s="27" t="n">
        <v>662</v>
      </c>
      <c r="F170" s="11" t="n">
        <v>54</v>
      </c>
      <c r="G170" s="11" t="n">
        <v>19</v>
      </c>
    </row>
    <row r="171">
      <c r="A171" s="12" t="inlineStr">
        <is>
          <t>Oklahoma</t>
        </is>
      </c>
      <c r="B171" s="12" t="inlineStr">
        <is>
          <t>Overall Feeder</t>
        </is>
      </c>
      <c r="C171" s="11" t="inlineStr">
        <is>
          <t>$/cwt</t>
        </is>
      </c>
      <c r="D171" s="26" t="n">
        <v>339.4</v>
      </c>
      <c r="E171" s="27" t="n">
        <v>976434</v>
      </c>
      <c r="F171" s="11" t="n">
        <v>13005</v>
      </c>
      <c r="G171" s="11" t="n">
        <v>50</v>
      </c>
    </row>
    <row r="172">
      <c r="A172" s="12" t="inlineStr">
        <is>
          <t>Oklahoma</t>
        </is>
      </c>
      <c r="B172" s="12" t="inlineStr">
        <is>
          <t>Feeder Steers</t>
        </is>
      </c>
      <c r="C172" s="11" t="inlineStr">
        <is>
          <t>$/cwt</t>
        </is>
      </c>
      <c r="D172" s="26" t="n">
        <v>341.45</v>
      </c>
      <c r="E172" s="27" t="n">
        <v>538860</v>
      </c>
      <c r="F172" s="11" t="n">
        <v>5147</v>
      </c>
      <c r="G172" s="11" t="n">
        <v>50</v>
      </c>
    </row>
    <row r="173">
      <c r="A173" s="12" t="inlineStr">
        <is>
          <t>Oklahoma</t>
        </is>
      </c>
      <c r="B173" s="12" t="inlineStr">
        <is>
          <t>Feeder Heifers</t>
        </is>
      </c>
      <c r="C173" s="11" t="inlineStr">
        <is>
          <t>$/cwt</t>
        </is>
      </c>
      <c r="D173" s="26" t="n">
        <v>331.21</v>
      </c>
      <c r="E173" s="27" t="n">
        <v>386880</v>
      </c>
      <c r="F173" s="11" t="n">
        <v>4869</v>
      </c>
      <c r="G173" s="11" t="n">
        <v>50</v>
      </c>
    </row>
    <row r="174">
      <c r="A174" s="12" t="inlineStr">
        <is>
          <t>Oklahoma</t>
        </is>
      </c>
      <c r="B174" s="12" t="inlineStr">
        <is>
          <t>Feeder Bulls</t>
        </is>
      </c>
      <c r="C174" s="11" t="inlineStr">
        <is>
          <t>$/cwt</t>
        </is>
      </c>
      <c r="D174" s="26" t="n">
        <v>380.09</v>
      </c>
      <c r="E174" s="27" t="n">
        <v>50694</v>
      </c>
      <c r="F174" s="11" t="n">
        <v>2989</v>
      </c>
      <c r="G174" s="11" t="n">
        <v>50</v>
      </c>
    </row>
    <row r="175">
      <c r="A175" s="12" t="inlineStr">
        <is>
          <t>Oklahoma</t>
        </is>
      </c>
      <c r="B175" s="12" t="inlineStr">
        <is>
          <t>Feeder Cows</t>
        </is>
      </c>
      <c r="C175" s="11" t="inlineStr">
        <is>
          <t>$/cwt</t>
        </is>
      </c>
      <c r="D175" s="26" t="n">
        <v>236</v>
      </c>
      <c r="E175" s="27" t="n">
        <v>12</v>
      </c>
      <c r="F175" s="11" t="n">
        <v>1</v>
      </c>
      <c r="G175" s="11" t="n">
        <v>1</v>
      </c>
    </row>
    <row r="176">
      <c r="A176" s="12" t="inlineStr">
        <is>
          <t>Oklahoma</t>
        </is>
      </c>
      <c r="B176" s="12" t="inlineStr">
        <is>
          <t>Stock Cows ($/cwt)</t>
        </is>
      </c>
      <c r="C176" s="11" t="inlineStr">
        <is>
          <t>$/cwt</t>
        </is>
      </c>
      <c r="D176" s="26" t="n">
        <v>185.33</v>
      </c>
      <c r="E176" s="27" t="n">
        <v>5881</v>
      </c>
      <c r="F176" s="11" t="n">
        <v>458</v>
      </c>
      <c r="G176" s="11" t="n">
        <v>50</v>
      </c>
    </row>
    <row r="177">
      <c r="A177" s="12" t="inlineStr">
        <is>
          <t>Oklahoma</t>
        </is>
      </c>
      <c r="B177" s="12" t="inlineStr">
        <is>
          <t>Stock Cows ($/head)</t>
        </is>
      </c>
      <c r="C177" s="11" t="inlineStr">
        <is>
          <t>$/head</t>
        </is>
      </c>
      <c r="D177" s="28" t="n">
        <v>2303.35</v>
      </c>
      <c r="E177" s="27" t="n">
        <v>145</v>
      </c>
      <c r="F177" s="11" t="n">
        <v>10</v>
      </c>
      <c r="G177" s="11" t="n">
        <v>6</v>
      </c>
    </row>
    <row r="178">
      <c r="A178" s="12" t="inlineStr">
        <is>
          <t>Oklahoma</t>
        </is>
      </c>
      <c r="B178" s="12" t="inlineStr">
        <is>
          <t>Bred Cows ($/head)</t>
        </is>
      </c>
      <c r="C178" s="11" t="inlineStr">
        <is>
          <t>$/head</t>
        </is>
      </c>
      <c r="D178" s="28" t="n">
        <v>2441.81</v>
      </c>
      <c r="E178" s="27" t="n">
        <v>23576</v>
      </c>
      <c r="F178" s="11" t="n">
        <v>1724</v>
      </c>
      <c r="G178" s="11" t="n">
        <v>50</v>
      </c>
    </row>
    <row r="179">
      <c r="A179" s="12" t="inlineStr">
        <is>
          <t>Oklahoma</t>
        </is>
      </c>
      <c r="B179" s="12" t="inlineStr">
        <is>
          <t>Bred Cows ($/cwt)</t>
        </is>
      </c>
      <c r="C179" s="11" t="inlineStr">
        <is>
          <t>$/cwt</t>
        </is>
      </c>
      <c r="D179" s="26" t="n">
        <v>166.92</v>
      </c>
      <c r="E179" s="27" t="n">
        <v>13</v>
      </c>
      <c r="F179" s="11" t="n">
        <v>6</v>
      </c>
      <c r="G179" s="11" t="n">
        <v>2</v>
      </c>
    </row>
    <row r="180">
      <c r="A180" s="12" t="inlineStr">
        <is>
          <t>Oklahoma</t>
        </is>
      </c>
      <c r="B180" s="12" t="inlineStr">
        <is>
          <t>Bred Heifers ($/head)</t>
        </is>
      </c>
      <c r="C180" s="11" t="inlineStr">
        <is>
          <t>$/head</t>
        </is>
      </c>
      <c r="D180" s="28" t="n">
        <v>2917.06</v>
      </c>
      <c r="E180" s="27" t="n">
        <v>2258</v>
      </c>
      <c r="F180" s="11" t="n">
        <v>371</v>
      </c>
      <c r="G180" s="11" t="n">
        <v>48</v>
      </c>
    </row>
    <row r="181">
      <c r="A181" s="12" t="inlineStr">
        <is>
          <t>Oklahoma</t>
        </is>
      </c>
      <c r="B181" s="12" t="inlineStr">
        <is>
          <t>Cow-Calf Pairs ($/head)</t>
        </is>
      </c>
      <c r="C181" s="11" t="inlineStr">
        <is>
          <t>$/head</t>
        </is>
      </c>
      <c r="D181" s="28" t="n">
        <v>3096.97</v>
      </c>
      <c r="E181" s="27" t="n">
        <v>2865</v>
      </c>
      <c r="F181" s="11" t="n">
        <v>777</v>
      </c>
      <c r="G181" s="11" t="n">
        <v>50</v>
      </c>
    </row>
    <row r="182">
      <c r="A182" s="12" t="inlineStr">
        <is>
          <t>Oklahoma</t>
        </is>
      </c>
      <c r="B182" s="12" t="inlineStr">
        <is>
          <t>Heifer Pairs ($/head)</t>
        </is>
      </c>
      <c r="C182" s="11" t="inlineStr">
        <is>
          <t>$/head</t>
        </is>
      </c>
      <c r="D182" s="28" t="n">
        <v>3422.93</v>
      </c>
      <c r="E182" s="27" t="n">
        <v>282</v>
      </c>
      <c r="F182" s="11" t="n">
        <v>95</v>
      </c>
      <c r="G182" s="11" t="n">
        <v>37</v>
      </c>
    </row>
    <row r="183">
      <c r="A183" s="12" t="inlineStr">
        <is>
          <t>Oklahoma</t>
        </is>
      </c>
      <c r="B183" s="12" t="inlineStr">
        <is>
          <t>Replacement Bulls ($/head)</t>
        </is>
      </c>
      <c r="C183" s="11" t="inlineStr">
        <is>
          <t>$/head</t>
        </is>
      </c>
      <c r="D183" s="28" t="n">
        <v>3703.56</v>
      </c>
      <c r="E183" s="27" t="n">
        <v>276</v>
      </c>
      <c r="F183" s="11" t="n">
        <v>91</v>
      </c>
      <c r="G183" s="11" t="n">
        <v>42</v>
      </c>
    </row>
    <row r="184">
      <c r="A184" s="12" t="inlineStr">
        <is>
          <t>Oklahoma</t>
        </is>
      </c>
      <c r="B184" s="12" t="inlineStr">
        <is>
          <t>Replacement Bulls ($/cwt)</t>
        </is>
      </c>
      <c r="C184" s="11" t="inlineStr">
        <is>
          <t>$/cwt</t>
        </is>
      </c>
      <c r="D184" s="26" t="n">
        <v>189.44</v>
      </c>
      <c r="E184" s="27" t="n">
        <v>32</v>
      </c>
      <c r="F184" s="11" t="n">
        <v>23</v>
      </c>
      <c r="G184" s="11" t="n">
        <v>12</v>
      </c>
    </row>
    <row r="185">
      <c r="A185" s="12" t="inlineStr">
        <is>
          <t>Pennsylvania</t>
        </is>
      </c>
      <c r="B185" s="12" t="inlineStr">
        <is>
          <t>Overall Feeder</t>
        </is>
      </c>
      <c r="C185" s="11" t="inlineStr">
        <is>
          <t>$/cwt</t>
        </is>
      </c>
      <c r="D185" s="26" t="n">
        <v>311.1</v>
      </c>
      <c r="E185" s="27" t="n">
        <v>5354</v>
      </c>
      <c r="F185" s="11" t="n">
        <v>796</v>
      </c>
      <c r="G185" s="11" t="n">
        <v>18</v>
      </c>
    </row>
    <row r="186">
      <c r="A186" s="12" t="inlineStr">
        <is>
          <t>Pennsylvania</t>
        </is>
      </c>
      <c r="B186" s="12" t="inlineStr">
        <is>
          <t>Feeder Steers</t>
        </is>
      </c>
      <c r="C186" s="11" t="inlineStr">
        <is>
          <t>$/cwt</t>
        </is>
      </c>
      <c r="D186" s="26" t="n">
        <v>326.4</v>
      </c>
      <c r="E186" s="27" t="n">
        <v>2171</v>
      </c>
      <c r="F186" s="11" t="n">
        <v>320</v>
      </c>
      <c r="G186" s="11" t="n">
        <v>18</v>
      </c>
    </row>
    <row r="187">
      <c r="A187" s="12" t="inlineStr">
        <is>
          <t>Pennsylvania</t>
        </is>
      </c>
      <c r="B187" s="12" t="inlineStr">
        <is>
          <t>Feeder Heifers</t>
        </is>
      </c>
      <c r="C187" s="11" t="inlineStr">
        <is>
          <t>$/cwt</t>
        </is>
      </c>
      <c r="D187" s="26" t="n">
        <v>294.33</v>
      </c>
      <c r="E187" s="27" t="n">
        <v>2303</v>
      </c>
      <c r="F187" s="11" t="n">
        <v>289</v>
      </c>
      <c r="G187" s="11" t="n">
        <v>18</v>
      </c>
    </row>
    <row r="188">
      <c r="A188" s="12" t="inlineStr">
        <is>
          <t>Pennsylvania</t>
        </is>
      </c>
      <c r="B188" s="12" t="inlineStr">
        <is>
          <t>Feeder Bulls</t>
        </is>
      </c>
      <c r="C188" s="11" t="inlineStr">
        <is>
          <t>$/cwt</t>
        </is>
      </c>
      <c r="D188" s="26" t="n">
        <v>317.22</v>
      </c>
      <c r="E188" s="27" t="n">
        <v>880</v>
      </c>
      <c r="F188" s="11" t="n">
        <v>187</v>
      </c>
      <c r="G188" s="11" t="n">
        <v>18</v>
      </c>
    </row>
    <row r="189">
      <c r="A189" s="12" t="inlineStr">
        <is>
          <t>Pennsylvania</t>
        </is>
      </c>
      <c r="B189" s="12" t="inlineStr">
        <is>
          <t>Stock Cows ($/cwt)</t>
        </is>
      </c>
      <c r="C189" s="11" t="inlineStr">
        <is>
          <t>$/cwt</t>
        </is>
      </c>
      <c r="D189" s="26" t="n">
        <v>158.93</v>
      </c>
      <c r="E189" s="27" t="n">
        <v>18</v>
      </c>
      <c r="F189" s="11" t="n">
        <v>3</v>
      </c>
      <c r="G189" s="11" t="n">
        <v>2</v>
      </c>
    </row>
    <row r="190">
      <c r="A190" s="12" t="inlineStr">
        <is>
          <t>South Carolina</t>
        </is>
      </c>
      <c r="B190" s="12" t="inlineStr">
        <is>
          <t>Overall Feeder</t>
        </is>
      </c>
      <c r="C190" s="11" t="inlineStr">
        <is>
          <t>$/cwt</t>
        </is>
      </c>
      <c r="D190" s="26" t="n">
        <v>337.12</v>
      </c>
      <c r="E190" s="27" t="n">
        <v>53606</v>
      </c>
      <c r="F190" s="11" t="n">
        <v>6482</v>
      </c>
      <c r="G190" s="11" t="n">
        <v>48</v>
      </c>
    </row>
    <row r="191">
      <c r="A191" s="12" t="inlineStr">
        <is>
          <t>South Carolina</t>
        </is>
      </c>
      <c r="B191" s="12" t="inlineStr">
        <is>
          <t>Feeder Steers</t>
        </is>
      </c>
      <c r="C191" s="11" t="inlineStr">
        <is>
          <t>$/cwt</t>
        </is>
      </c>
      <c r="D191" s="26" t="n">
        <v>350.43</v>
      </c>
      <c r="E191" s="27" t="n">
        <v>11869</v>
      </c>
      <c r="F191" s="11" t="n">
        <v>1926</v>
      </c>
      <c r="G191" s="11" t="n">
        <v>48</v>
      </c>
    </row>
    <row r="192">
      <c r="A192" s="12" t="inlineStr">
        <is>
          <t>South Carolina</t>
        </is>
      </c>
      <c r="B192" s="12" t="inlineStr">
        <is>
          <t>Feeder Heifers</t>
        </is>
      </c>
      <c r="C192" s="11" t="inlineStr">
        <is>
          <t>$/cwt</t>
        </is>
      </c>
      <c r="D192" s="26" t="n">
        <v>317.54</v>
      </c>
      <c r="E192" s="27" t="n">
        <v>22695</v>
      </c>
      <c r="F192" s="11" t="n">
        <v>2391</v>
      </c>
      <c r="G192" s="11" t="n">
        <v>48</v>
      </c>
    </row>
    <row r="193">
      <c r="A193" s="12" t="inlineStr">
        <is>
          <t>South Carolina</t>
        </is>
      </c>
      <c r="B193" s="12" t="inlineStr">
        <is>
          <t>Feeder Bulls</t>
        </is>
      </c>
      <c r="C193" s="11" t="inlineStr">
        <is>
          <t>$/cwt</t>
        </is>
      </c>
      <c r="D193" s="26" t="n">
        <v>352.15</v>
      </c>
      <c r="E193" s="27" t="n">
        <v>19042</v>
      </c>
      <c r="F193" s="11" t="n">
        <v>2165</v>
      </c>
      <c r="G193" s="11" t="n">
        <v>48</v>
      </c>
    </row>
    <row r="194">
      <c r="A194" s="12" t="inlineStr">
        <is>
          <t>South Carolina</t>
        </is>
      </c>
      <c r="B194" s="12" t="inlineStr">
        <is>
          <t>Stock Cows ($/cwt)</t>
        </is>
      </c>
      <c r="C194" s="11" t="inlineStr">
        <is>
          <t>$/cwt</t>
        </is>
      </c>
      <c r="D194" s="26" t="n">
        <v>166.6</v>
      </c>
      <c r="E194" s="27" t="n">
        <v>790</v>
      </c>
      <c r="F194" s="11" t="n">
        <v>308</v>
      </c>
      <c r="G194" s="11" t="n">
        <v>48</v>
      </c>
    </row>
    <row r="195">
      <c r="A195" s="12" t="inlineStr">
        <is>
          <t>South Carolina</t>
        </is>
      </c>
      <c r="B195" s="12" t="inlineStr">
        <is>
          <t>Stock Cows ($/head)</t>
        </is>
      </c>
      <c r="C195" s="11" t="inlineStr">
        <is>
          <t>$/head</t>
        </is>
      </c>
      <c r="D195" s="28" t="n">
        <v>1492.99</v>
      </c>
      <c r="E195" s="27" t="n">
        <v>984</v>
      </c>
      <c r="F195" s="11" t="n">
        <v>411</v>
      </c>
      <c r="G195" s="11" t="n">
        <v>48</v>
      </c>
    </row>
    <row r="196">
      <c r="A196" s="12" t="inlineStr">
        <is>
          <t>South Carolina</t>
        </is>
      </c>
      <c r="B196" s="12" t="inlineStr">
        <is>
          <t>Bred Cows ($/head)</t>
        </is>
      </c>
      <c r="C196" s="11" t="inlineStr">
        <is>
          <t>$/head</t>
        </is>
      </c>
      <c r="D196" s="28" t="n">
        <v>1853.1</v>
      </c>
      <c r="E196" s="27" t="n">
        <v>1765</v>
      </c>
      <c r="F196" s="11" t="n">
        <v>750</v>
      </c>
      <c r="G196" s="11" t="n">
        <v>48</v>
      </c>
    </row>
    <row r="197">
      <c r="A197" s="12" t="inlineStr">
        <is>
          <t>South Carolina</t>
        </is>
      </c>
      <c r="B197" s="12" t="inlineStr">
        <is>
          <t>Bred Cows ($/cwt)</t>
        </is>
      </c>
      <c r="C197" s="11" t="inlineStr">
        <is>
          <t>$/cwt</t>
        </is>
      </c>
      <c r="D197" s="26" t="n">
        <v>154</v>
      </c>
      <c r="E197" s="27" t="n">
        <v>184</v>
      </c>
      <c r="F197" s="11" t="n">
        <v>156</v>
      </c>
      <c r="G197" s="11" t="n">
        <v>44</v>
      </c>
    </row>
    <row r="198">
      <c r="A198" s="12" t="inlineStr">
        <is>
          <t>South Carolina</t>
        </is>
      </c>
      <c r="B198" s="12" t="inlineStr">
        <is>
          <t>Bred Heifers ($/head)</t>
        </is>
      </c>
      <c r="C198" s="11" t="inlineStr">
        <is>
          <t>$/head</t>
        </is>
      </c>
      <c r="D198" s="28" t="n">
        <v>2245.35</v>
      </c>
      <c r="E198" s="27" t="n">
        <v>245</v>
      </c>
      <c r="F198" s="11" t="n">
        <v>105</v>
      </c>
      <c r="G198" s="11" t="n">
        <v>41</v>
      </c>
    </row>
    <row r="199">
      <c r="A199" s="12" t="inlineStr">
        <is>
          <t>South Carolina</t>
        </is>
      </c>
      <c r="B199" s="12" t="inlineStr">
        <is>
          <t>Bred Heifers ($/cwt)</t>
        </is>
      </c>
      <c r="C199" s="11" t="inlineStr">
        <is>
          <t>$/cwt</t>
        </is>
      </c>
      <c r="D199" s="26" t="n">
        <v>193.55</v>
      </c>
      <c r="E199" s="27" t="n">
        <v>58</v>
      </c>
      <c r="F199" s="11" t="n">
        <v>49</v>
      </c>
      <c r="G199" s="11" t="n">
        <v>27</v>
      </c>
    </row>
    <row r="200">
      <c r="A200" s="12" t="inlineStr">
        <is>
          <t>South Carolina</t>
        </is>
      </c>
      <c r="B200" s="12" t="inlineStr">
        <is>
          <t>Cow-Calf Pairs ($/head)</t>
        </is>
      </c>
      <c r="C200" s="11" t="inlineStr">
        <is>
          <t>$/head</t>
        </is>
      </c>
      <c r="D200" s="28" t="n">
        <v>2384.12</v>
      </c>
      <c r="E200" s="27" t="n">
        <v>922</v>
      </c>
      <c r="F200" s="11" t="n">
        <v>517</v>
      </c>
      <c r="G200" s="11" t="n">
        <v>48</v>
      </c>
    </row>
    <row r="201">
      <c r="A201" s="12" t="inlineStr">
        <is>
          <t>South Carolina</t>
        </is>
      </c>
      <c r="B201" s="12" t="inlineStr">
        <is>
          <t>Heifer Pairs ($/head)</t>
        </is>
      </c>
      <c r="C201" s="11" t="inlineStr">
        <is>
          <t>$/head</t>
        </is>
      </c>
      <c r="D201" s="28" t="n">
        <v>2233.77</v>
      </c>
      <c r="E201" s="27" t="n">
        <v>29</v>
      </c>
      <c r="F201" s="11" t="n">
        <v>20</v>
      </c>
      <c r="G201" s="11" t="n">
        <v>15</v>
      </c>
    </row>
    <row r="202">
      <c r="A202" s="12" t="inlineStr">
        <is>
          <t>South Carolina</t>
        </is>
      </c>
      <c r="B202" s="12" t="inlineStr">
        <is>
          <t>Replacement Bulls ($/head)</t>
        </is>
      </c>
      <c r="C202" s="11" t="inlineStr">
        <is>
          <t>$/head</t>
        </is>
      </c>
      <c r="D202" s="28" t="n">
        <v>2228.18</v>
      </c>
      <c r="E202" s="27" t="n">
        <v>267</v>
      </c>
      <c r="F202" s="11" t="n">
        <v>123</v>
      </c>
      <c r="G202" s="11" t="n">
        <v>48</v>
      </c>
    </row>
    <row r="203">
      <c r="A203" s="12" t="inlineStr">
        <is>
          <t>South Carolina</t>
        </is>
      </c>
      <c r="B203" s="12" t="inlineStr">
        <is>
          <t>Replacement Bulls ($/cwt)</t>
        </is>
      </c>
      <c r="C203" s="11" t="inlineStr">
        <is>
          <t>$/cwt</t>
        </is>
      </c>
      <c r="D203" s="26" t="n">
        <v>181.03</v>
      </c>
      <c r="E203" s="27" t="n">
        <v>195</v>
      </c>
      <c r="F203" s="11" t="n">
        <v>121</v>
      </c>
      <c r="G203" s="11" t="n">
        <v>46</v>
      </c>
    </row>
    <row r="204">
      <c r="A204" s="12" t="inlineStr">
        <is>
          <t>South Dakota</t>
        </is>
      </c>
      <c r="B204" s="12" t="inlineStr">
        <is>
          <t>Overall Feeder</t>
        </is>
      </c>
      <c r="C204" s="11" t="inlineStr">
        <is>
          <t>$/cwt</t>
        </is>
      </c>
      <c r="D204" s="26" t="n">
        <v>349.67</v>
      </c>
      <c r="E204" s="27" t="n">
        <v>843049</v>
      </c>
      <c r="F204" s="11" t="n">
        <v>3923</v>
      </c>
      <c r="G204" s="11" t="n">
        <v>51</v>
      </c>
    </row>
    <row r="205">
      <c r="A205" s="12" t="inlineStr">
        <is>
          <t>South Dakota</t>
        </is>
      </c>
      <c r="B205" s="12" t="inlineStr">
        <is>
          <t>Feeder Steers</t>
        </is>
      </c>
      <c r="C205" s="11" t="inlineStr">
        <is>
          <t>$/cwt</t>
        </is>
      </c>
      <c r="D205" s="26" t="n">
        <v>358.87</v>
      </c>
      <c r="E205" s="27" t="n">
        <v>500826</v>
      </c>
      <c r="F205" s="11" t="n">
        <v>1926</v>
      </c>
      <c r="G205" s="11" t="n">
        <v>51</v>
      </c>
    </row>
    <row r="206">
      <c r="A206" s="12" t="inlineStr">
        <is>
          <t>South Dakota</t>
        </is>
      </c>
      <c r="B206" s="12" t="inlineStr">
        <is>
          <t>Feeder Heifers</t>
        </is>
      </c>
      <c r="C206" s="11" t="inlineStr">
        <is>
          <t>$/cwt</t>
        </is>
      </c>
      <c r="D206" s="26" t="n">
        <v>336.01</v>
      </c>
      <c r="E206" s="27" t="n">
        <v>340484</v>
      </c>
      <c r="F206" s="11" t="n">
        <v>1873</v>
      </c>
      <c r="G206" s="11" t="n">
        <v>51</v>
      </c>
    </row>
    <row r="207">
      <c r="A207" s="12" t="inlineStr">
        <is>
          <t>South Dakota</t>
        </is>
      </c>
      <c r="B207" s="12" t="inlineStr">
        <is>
          <t>Feeder Bulls</t>
        </is>
      </c>
      <c r="C207" s="11" t="inlineStr">
        <is>
          <t>$/cwt</t>
        </is>
      </c>
      <c r="D207" s="26" t="n">
        <v>376.29</v>
      </c>
      <c r="E207" s="27" t="n">
        <v>1739</v>
      </c>
      <c r="F207" s="11" t="n">
        <v>124</v>
      </c>
      <c r="G207" s="11" t="n">
        <v>38</v>
      </c>
    </row>
    <row r="208">
      <c r="A208" s="12" t="inlineStr">
        <is>
          <t>Tennessee</t>
        </is>
      </c>
      <c r="B208" s="12" t="inlineStr">
        <is>
          <t>Overall Feeder</t>
        </is>
      </c>
      <c r="C208" s="11" t="inlineStr">
        <is>
          <t>$/cwt</t>
        </is>
      </c>
      <c r="D208" s="26" t="n">
        <v>333.41</v>
      </c>
      <c r="E208" s="27" t="n">
        <v>252530</v>
      </c>
      <c r="F208" s="11" t="n">
        <v>13690</v>
      </c>
      <c r="G208" s="11" t="n">
        <v>49</v>
      </c>
    </row>
    <row r="209">
      <c r="A209" s="12" t="inlineStr">
        <is>
          <t>Tennessee</t>
        </is>
      </c>
      <c r="B209" s="12" t="inlineStr">
        <is>
          <t>Feeder Steers</t>
        </is>
      </c>
      <c r="C209" s="11" t="inlineStr">
        <is>
          <t>$/cwt</t>
        </is>
      </c>
      <c r="D209" s="26" t="n">
        <v>345.93</v>
      </c>
      <c r="E209" s="27" t="n">
        <v>88397</v>
      </c>
      <c r="F209" s="11" t="n">
        <v>4610</v>
      </c>
      <c r="G209" s="11" t="n">
        <v>49</v>
      </c>
    </row>
    <row r="210">
      <c r="A210" s="12" t="inlineStr">
        <is>
          <t>Tennessee</t>
        </is>
      </c>
      <c r="B210" s="12" t="inlineStr">
        <is>
          <t>Feeder Heifers</t>
        </is>
      </c>
      <c r="C210" s="11" t="inlineStr">
        <is>
          <t>$/cwt</t>
        </is>
      </c>
      <c r="D210" s="26" t="n">
        <v>321.28</v>
      </c>
      <c r="E210" s="27" t="n">
        <v>107501</v>
      </c>
      <c r="F210" s="11" t="n">
        <v>5139</v>
      </c>
      <c r="G210" s="11" t="n">
        <v>49</v>
      </c>
    </row>
    <row r="211">
      <c r="A211" s="12" t="inlineStr">
        <is>
          <t>Tennessee</t>
        </is>
      </c>
      <c r="B211" s="12" t="inlineStr">
        <is>
          <t>Feeder Bulls</t>
        </is>
      </c>
      <c r="C211" s="11" t="inlineStr">
        <is>
          <t>$/cwt</t>
        </is>
      </c>
      <c r="D211" s="26" t="n">
        <v>336.87</v>
      </c>
      <c r="E211" s="27" t="n">
        <v>56632</v>
      </c>
      <c r="F211" s="11" t="n">
        <v>3941</v>
      </c>
      <c r="G211" s="11" t="n">
        <v>49</v>
      </c>
    </row>
    <row r="212">
      <c r="A212" s="12" t="inlineStr">
        <is>
          <t>Tennessee</t>
        </is>
      </c>
      <c r="B212" s="12" t="inlineStr">
        <is>
          <t>Stock Cows ($/head)</t>
        </is>
      </c>
      <c r="C212" s="11" t="inlineStr">
        <is>
          <t>$/head</t>
        </is>
      </c>
      <c r="D212" s="28" t="n">
        <v>1808.9</v>
      </c>
      <c r="E212" s="27" t="n">
        <v>262</v>
      </c>
      <c r="F212" s="11" t="n">
        <v>119</v>
      </c>
      <c r="G212" s="11" t="n">
        <v>41</v>
      </c>
    </row>
    <row r="213">
      <c r="A213" s="12" t="inlineStr">
        <is>
          <t>Tennessee</t>
        </is>
      </c>
      <c r="B213" s="12" t="inlineStr">
        <is>
          <t>Bred Cows ($/head)</t>
        </is>
      </c>
      <c r="C213" s="11" t="inlineStr">
        <is>
          <t>$/head</t>
        </is>
      </c>
      <c r="D213" s="28" t="n">
        <v>2264.22</v>
      </c>
      <c r="E213" s="27" t="n">
        <v>6730</v>
      </c>
      <c r="F213" s="11" t="n">
        <v>1774</v>
      </c>
      <c r="G213" s="11" t="n">
        <v>49</v>
      </c>
    </row>
    <row r="214">
      <c r="A214" s="12" t="inlineStr">
        <is>
          <t>Tennessee</t>
        </is>
      </c>
      <c r="B214" s="12" t="inlineStr">
        <is>
          <t>Bred Heifers ($/head)</t>
        </is>
      </c>
      <c r="C214" s="11" t="inlineStr">
        <is>
          <t>$/head</t>
        </is>
      </c>
      <c r="D214" s="28" t="n">
        <v>2141.59</v>
      </c>
      <c r="E214" s="27" t="n">
        <v>647</v>
      </c>
      <c r="F214" s="11" t="n">
        <v>381</v>
      </c>
      <c r="G214" s="11" t="n">
        <v>49</v>
      </c>
    </row>
    <row r="215">
      <c r="A215" s="12" t="inlineStr">
        <is>
          <t>Tennessee</t>
        </is>
      </c>
      <c r="B215" s="12" t="inlineStr">
        <is>
          <t>Cow-Calf Pairs ($/head)</t>
        </is>
      </c>
      <c r="C215" s="11" t="inlineStr">
        <is>
          <t>$/head</t>
        </is>
      </c>
      <c r="D215" s="28" t="n">
        <v>2959.71</v>
      </c>
      <c r="E215" s="27" t="n">
        <v>2135</v>
      </c>
      <c r="F215" s="11" t="n">
        <v>1015</v>
      </c>
      <c r="G215" s="11" t="n">
        <v>48</v>
      </c>
    </row>
    <row r="216">
      <c r="A216" s="12" t="inlineStr">
        <is>
          <t>Tennessee</t>
        </is>
      </c>
      <c r="B216" s="12" t="inlineStr">
        <is>
          <t>Heifer Pairs ($/head)</t>
        </is>
      </c>
      <c r="C216" s="11" t="inlineStr">
        <is>
          <t>$/head</t>
        </is>
      </c>
      <c r="D216" s="28" t="n">
        <v>3007.05</v>
      </c>
      <c r="E216" s="27" t="n">
        <v>69</v>
      </c>
      <c r="F216" s="11" t="n">
        <v>54</v>
      </c>
      <c r="G216" s="11" t="n">
        <v>34</v>
      </c>
    </row>
    <row r="217">
      <c r="A217" s="12" t="inlineStr">
        <is>
          <t>Tennessee</t>
        </is>
      </c>
      <c r="B217" s="12" t="inlineStr">
        <is>
          <t>Replacement Bulls ($/head)</t>
        </is>
      </c>
      <c r="C217" s="11" t="inlineStr">
        <is>
          <t>$/head</t>
        </is>
      </c>
      <c r="D217" s="28" t="n">
        <v>2851.66</v>
      </c>
      <c r="E217" s="27" t="n">
        <v>116</v>
      </c>
      <c r="F217" s="11" t="n">
        <v>89</v>
      </c>
      <c r="G217" s="11" t="n">
        <v>42</v>
      </c>
    </row>
    <row r="218">
      <c r="A218" s="12" t="inlineStr">
        <is>
          <t>Texas</t>
        </is>
      </c>
      <c r="B218" s="12" t="inlineStr">
        <is>
          <t>Overall Feeder</t>
        </is>
      </c>
      <c r="C218" s="11" t="inlineStr">
        <is>
          <t>$/cwt</t>
        </is>
      </c>
      <c r="D218" s="26" t="n">
        <v>328.36</v>
      </c>
      <c r="E218" s="27" t="n">
        <v>174646</v>
      </c>
      <c r="F218" s="11" t="n">
        <v>6692</v>
      </c>
      <c r="G218" s="11" t="n">
        <v>48</v>
      </c>
    </row>
    <row r="219">
      <c r="A219" s="12" t="inlineStr">
        <is>
          <t>Texas</t>
        </is>
      </c>
      <c r="B219" s="12" t="inlineStr">
        <is>
          <t>Feeder Steers</t>
        </is>
      </c>
      <c r="C219" s="11" t="inlineStr">
        <is>
          <t>$/cwt</t>
        </is>
      </c>
      <c r="D219" s="26" t="n">
        <v>339.31</v>
      </c>
      <c r="E219" s="27" t="n">
        <v>95117</v>
      </c>
      <c r="F219" s="11" t="n">
        <v>2878</v>
      </c>
      <c r="G219" s="11" t="n">
        <v>48</v>
      </c>
    </row>
    <row r="220">
      <c r="A220" s="12" t="inlineStr">
        <is>
          <t>Texas</t>
        </is>
      </c>
      <c r="B220" s="12" t="inlineStr">
        <is>
          <t>Feeder Heifers</t>
        </is>
      </c>
      <c r="C220" s="11" t="inlineStr">
        <is>
          <t>$/cwt</t>
        </is>
      </c>
      <c r="D220" s="26" t="n">
        <v>314.61</v>
      </c>
      <c r="E220" s="27" t="n">
        <v>73487</v>
      </c>
      <c r="F220" s="11" t="n">
        <v>2902</v>
      </c>
      <c r="G220" s="11" t="n">
        <v>48</v>
      </c>
    </row>
    <row r="221">
      <c r="A221" s="12" t="inlineStr">
        <is>
          <t>Texas</t>
        </is>
      </c>
      <c r="B221" s="12" t="inlineStr">
        <is>
          <t>Feeder Bulls</t>
        </is>
      </c>
      <c r="C221" s="11" t="inlineStr">
        <is>
          <t>$/cwt</t>
        </is>
      </c>
      <c r="D221" s="26" t="n">
        <v>323.22</v>
      </c>
      <c r="E221" s="27" t="n">
        <v>6042</v>
      </c>
      <c r="F221" s="11" t="n">
        <v>912</v>
      </c>
      <c r="G221" s="11" t="n">
        <v>48</v>
      </c>
    </row>
    <row r="222">
      <c r="A222" s="12" t="inlineStr">
        <is>
          <t>Texas</t>
        </is>
      </c>
      <c r="B222" s="12" t="inlineStr">
        <is>
          <t>Feeder Cows</t>
        </is>
      </c>
      <c r="C222" s="11" t="inlineStr">
        <is>
          <t>$/cwt</t>
        </is>
      </c>
      <c r="D222" s="26" t="n">
        <v>90.04000000000001</v>
      </c>
      <c r="E222" s="27" t="n">
        <v>170</v>
      </c>
      <c r="F222" s="11" t="n">
        <v>63</v>
      </c>
      <c r="G222" s="11" t="n">
        <v>11</v>
      </c>
    </row>
    <row r="223">
      <c r="A223" s="12" t="inlineStr">
        <is>
          <t>Texas</t>
        </is>
      </c>
      <c r="B223" s="12" t="inlineStr">
        <is>
          <t>Stock Cows ($/cwt)</t>
        </is>
      </c>
      <c r="C223" s="11" t="inlineStr">
        <is>
          <t>$/cwt</t>
        </is>
      </c>
      <c r="D223" s="26" t="n">
        <v>181.11</v>
      </c>
      <c r="E223" s="27" t="n">
        <v>1175</v>
      </c>
      <c r="F223" s="11" t="n">
        <v>133</v>
      </c>
      <c r="G223" s="11" t="n">
        <v>43</v>
      </c>
    </row>
    <row r="224">
      <c r="A224" s="12" t="inlineStr">
        <is>
          <t>Texas</t>
        </is>
      </c>
      <c r="B224" s="12" t="inlineStr">
        <is>
          <t>Stock Cows ($/head)</t>
        </is>
      </c>
      <c r="C224" s="11" t="inlineStr">
        <is>
          <t>$/head</t>
        </is>
      </c>
      <c r="D224" s="28" t="n">
        <v>2081.25</v>
      </c>
      <c r="E224" s="27" t="n">
        <v>204</v>
      </c>
      <c r="F224" s="11" t="n">
        <v>49</v>
      </c>
      <c r="G224" s="11" t="n">
        <v>29</v>
      </c>
    </row>
    <row r="225">
      <c r="A225" s="12" t="inlineStr">
        <is>
          <t>Texas</t>
        </is>
      </c>
      <c r="B225" s="12" t="inlineStr">
        <is>
          <t>Bred Cows ($/head)</t>
        </is>
      </c>
      <c r="C225" s="11" t="inlineStr">
        <is>
          <t>$/head</t>
        </is>
      </c>
      <c r="D225" s="28" t="n">
        <v>2474.71</v>
      </c>
      <c r="E225" s="27" t="n">
        <v>5164</v>
      </c>
      <c r="F225" s="11" t="n">
        <v>620</v>
      </c>
      <c r="G225" s="11" t="n">
        <v>48</v>
      </c>
    </row>
    <row r="226">
      <c r="A226" s="12" t="inlineStr">
        <is>
          <t>Texas</t>
        </is>
      </c>
      <c r="B226" s="12" t="inlineStr">
        <is>
          <t>Bred Cows ($/cwt)</t>
        </is>
      </c>
      <c r="C226" s="11" t="inlineStr">
        <is>
          <t>$/cwt</t>
        </is>
      </c>
      <c r="D226" s="26" t="n">
        <v>157.99</v>
      </c>
      <c r="E226" s="27" t="n">
        <v>182</v>
      </c>
      <c r="F226" s="11" t="n">
        <v>31</v>
      </c>
      <c r="G226" s="11" t="n">
        <v>15</v>
      </c>
    </row>
    <row r="227">
      <c r="A227" s="12" t="inlineStr">
        <is>
          <t>Texas</t>
        </is>
      </c>
      <c r="B227" s="12" t="inlineStr">
        <is>
          <t>Bred Heifers ($/head)</t>
        </is>
      </c>
      <c r="C227" s="11" t="inlineStr">
        <is>
          <t>$/head</t>
        </is>
      </c>
      <c r="D227" s="28" t="n">
        <v>3144.27</v>
      </c>
      <c r="E227" s="27" t="n">
        <v>760</v>
      </c>
      <c r="F227" s="11" t="n">
        <v>107</v>
      </c>
      <c r="G227" s="11" t="n">
        <v>42</v>
      </c>
    </row>
    <row r="228">
      <c r="A228" s="12" t="inlineStr">
        <is>
          <t>Texas</t>
        </is>
      </c>
      <c r="B228" s="12" t="inlineStr">
        <is>
          <t>Cow-Calf Pairs ($/head)</t>
        </is>
      </c>
      <c r="C228" s="11" t="inlineStr">
        <is>
          <t>$/head</t>
        </is>
      </c>
      <c r="D228" s="28" t="n">
        <v>3308.55</v>
      </c>
      <c r="E228" s="27" t="n">
        <v>1665</v>
      </c>
      <c r="F228" s="11" t="n">
        <v>357</v>
      </c>
      <c r="G228" s="11" t="n">
        <v>48</v>
      </c>
    </row>
    <row r="229">
      <c r="A229" s="12" t="inlineStr">
        <is>
          <t>Texas</t>
        </is>
      </c>
      <c r="B229" s="12" t="inlineStr">
        <is>
          <t>Heifer Pairs ($/head)</t>
        </is>
      </c>
      <c r="C229" s="11" t="inlineStr">
        <is>
          <t>$/head</t>
        </is>
      </c>
      <c r="D229" s="28" t="n">
        <v>2750</v>
      </c>
      <c r="E229" s="27" t="n">
        <v>2</v>
      </c>
      <c r="F229" s="11" t="n">
        <v>2</v>
      </c>
      <c r="G229" s="11" t="n">
        <v>2</v>
      </c>
    </row>
    <row r="230">
      <c r="A230" s="12" t="inlineStr">
        <is>
          <t>Texas</t>
        </is>
      </c>
      <c r="B230" s="12" t="inlineStr">
        <is>
          <t>Replacement Bulls ($/head)</t>
        </is>
      </c>
      <c r="C230" s="11" t="inlineStr">
        <is>
          <t>$/head</t>
        </is>
      </c>
      <c r="D230" s="28" t="n">
        <v>3881.29</v>
      </c>
      <c r="E230" s="27" t="n">
        <v>194</v>
      </c>
      <c r="F230" s="11" t="n">
        <v>55</v>
      </c>
      <c r="G230" s="11" t="n">
        <v>37</v>
      </c>
    </row>
    <row r="231">
      <c r="A231" s="12" t="inlineStr">
        <is>
          <t>Texas</t>
        </is>
      </c>
      <c r="B231" s="12" t="inlineStr">
        <is>
          <t>Replacement Bulls ($/cwt)</t>
        </is>
      </c>
      <c r="C231" s="11" t="inlineStr">
        <is>
          <t>$/cwt</t>
        </is>
      </c>
      <c r="D231" s="26" t="n">
        <v>209.5</v>
      </c>
      <c r="E231" s="27" t="n">
        <v>2</v>
      </c>
      <c r="F231" s="11" t="n">
        <v>2</v>
      </c>
      <c r="G231" s="11" t="n">
        <v>2</v>
      </c>
    </row>
    <row r="232">
      <c r="A232" s="12" t="inlineStr">
        <is>
          <t>Utah</t>
        </is>
      </c>
      <c r="B232" s="12" t="inlineStr">
        <is>
          <t>Overall Feeder</t>
        </is>
      </c>
      <c r="C232" s="11" t="inlineStr">
        <is>
          <t>$/cwt</t>
        </is>
      </c>
      <c r="D232" s="26" t="n">
        <v>378.97</v>
      </c>
      <c r="E232" s="27" t="n">
        <v>52270</v>
      </c>
      <c r="F232" s="11" t="n">
        <v>4294</v>
      </c>
      <c r="G232" s="11" t="n">
        <v>48</v>
      </c>
    </row>
    <row r="233">
      <c r="A233" s="12" t="inlineStr">
        <is>
          <t>Utah</t>
        </is>
      </c>
      <c r="B233" s="12" t="inlineStr">
        <is>
          <t>Feeder Steers</t>
        </is>
      </c>
      <c r="C233" s="11" t="inlineStr">
        <is>
          <t>$/cwt</t>
        </is>
      </c>
      <c r="D233" s="26" t="n">
        <v>397.6</v>
      </c>
      <c r="E233" s="27" t="n">
        <v>27945</v>
      </c>
      <c r="F233" s="11" t="n">
        <v>1923</v>
      </c>
      <c r="G233" s="11" t="n">
        <v>48</v>
      </c>
    </row>
    <row r="234">
      <c r="A234" s="12" t="inlineStr">
        <is>
          <t>Utah</t>
        </is>
      </c>
      <c r="B234" s="12" t="inlineStr">
        <is>
          <t>Feeder Heifers</t>
        </is>
      </c>
      <c r="C234" s="11" t="inlineStr">
        <is>
          <t>$/cwt</t>
        </is>
      </c>
      <c r="D234" s="26" t="n">
        <v>357.96</v>
      </c>
      <c r="E234" s="27" t="n">
        <v>22966</v>
      </c>
      <c r="F234" s="11" t="n">
        <v>1840</v>
      </c>
      <c r="G234" s="11" t="n">
        <v>48</v>
      </c>
    </row>
    <row r="235">
      <c r="A235" s="12" t="inlineStr">
        <is>
          <t>Utah</t>
        </is>
      </c>
      <c r="B235" s="12" t="inlineStr">
        <is>
          <t>Feeder Bulls</t>
        </is>
      </c>
      <c r="C235" s="11" t="inlineStr">
        <is>
          <t>$/cwt</t>
        </is>
      </c>
      <c r="D235" s="26" t="n">
        <v>350.88</v>
      </c>
      <c r="E235" s="27" t="n">
        <v>1359</v>
      </c>
      <c r="F235" s="11" t="n">
        <v>531</v>
      </c>
      <c r="G235" s="11" t="n">
        <v>46</v>
      </c>
    </row>
    <row r="236">
      <c r="A236" s="12" t="inlineStr">
        <is>
          <t>Utah</t>
        </is>
      </c>
      <c r="B236" s="12" t="inlineStr">
        <is>
          <t>Feeder Cows</t>
        </is>
      </c>
      <c r="C236" s="11" t="inlineStr">
        <is>
          <t>$/cwt</t>
        </is>
      </c>
      <c r="D236" s="26" t="n">
        <v>334</v>
      </c>
      <c r="E236" s="27" t="n">
        <v>4</v>
      </c>
      <c r="F236" s="11" t="n">
        <v>1</v>
      </c>
      <c r="G236" s="11" t="n">
        <v>1</v>
      </c>
    </row>
    <row r="237">
      <c r="A237" s="12" t="inlineStr">
        <is>
          <t>Utah</t>
        </is>
      </c>
      <c r="B237" s="12" t="inlineStr">
        <is>
          <t>Stock Cows ($/cwt)</t>
        </is>
      </c>
      <c r="C237" s="11" t="inlineStr">
        <is>
          <t>$/cwt</t>
        </is>
      </c>
      <c r="D237" s="26" t="n">
        <v>218.54</v>
      </c>
      <c r="E237" s="27" t="n">
        <v>711</v>
      </c>
      <c r="F237" s="11" t="n">
        <v>95</v>
      </c>
      <c r="G237" s="11" t="n">
        <v>31</v>
      </c>
    </row>
    <row r="238">
      <c r="A238" s="12" t="inlineStr">
        <is>
          <t>Utah</t>
        </is>
      </c>
      <c r="B238" s="12" t="inlineStr">
        <is>
          <t>Stock Cows ($/head)</t>
        </is>
      </c>
      <c r="C238" s="11" t="inlineStr">
        <is>
          <t>$/head</t>
        </is>
      </c>
      <c r="D238" s="28" t="n">
        <v>3281.25</v>
      </c>
      <c r="E238" s="27" t="n">
        <v>4</v>
      </c>
      <c r="F238" s="11" t="n">
        <v>2</v>
      </c>
      <c r="G238" s="11" t="n">
        <v>2</v>
      </c>
    </row>
    <row r="239">
      <c r="A239" s="12" t="inlineStr">
        <is>
          <t>Utah</t>
        </is>
      </c>
      <c r="B239" s="12" t="inlineStr">
        <is>
          <t>Bred Cows ($/head)</t>
        </is>
      </c>
      <c r="C239" s="11" t="inlineStr">
        <is>
          <t>$/head</t>
        </is>
      </c>
      <c r="D239" s="28" t="n">
        <v>2451.65</v>
      </c>
      <c r="E239" s="27" t="n">
        <v>528</v>
      </c>
      <c r="F239" s="11" t="n">
        <v>98</v>
      </c>
      <c r="G239" s="11" t="n">
        <v>33</v>
      </c>
    </row>
    <row r="240">
      <c r="A240" s="12" t="inlineStr">
        <is>
          <t>Utah</t>
        </is>
      </c>
      <c r="B240" s="12" t="inlineStr">
        <is>
          <t>Bred Cows ($/cwt)</t>
        </is>
      </c>
      <c r="C240" s="11" t="inlineStr">
        <is>
          <t>$/cwt</t>
        </is>
      </c>
      <c r="D240" s="26" t="n">
        <v>185.22</v>
      </c>
      <c r="E240" s="27" t="n">
        <v>226</v>
      </c>
      <c r="F240" s="11" t="n">
        <v>66</v>
      </c>
      <c r="G240" s="11" t="n">
        <v>28</v>
      </c>
    </row>
    <row r="241">
      <c r="A241" s="12" t="inlineStr">
        <is>
          <t>Utah</t>
        </is>
      </c>
      <c r="B241" s="12" t="inlineStr">
        <is>
          <t>Bred Heifers ($/head)</t>
        </is>
      </c>
      <c r="C241" s="11" t="inlineStr">
        <is>
          <t>$/head</t>
        </is>
      </c>
      <c r="D241" s="28" t="n">
        <v>2710.35</v>
      </c>
      <c r="E241" s="27" t="n">
        <v>93</v>
      </c>
      <c r="F241" s="11" t="n">
        <v>39</v>
      </c>
      <c r="G241" s="11" t="n">
        <v>21</v>
      </c>
    </row>
    <row r="242">
      <c r="A242" s="12" t="inlineStr">
        <is>
          <t>Utah</t>
        </is>
      </c>
      <c r="B242" s="12" t="inlineStr">
        <is>
          <t>Bred Heifers ($/cwt)</t>
        </is>
      </c>
      <c r="C242" s="11" t="inlineStr">
        <is>
          <t>$/cwt</t>
        </is>
      </c>
      <c r="D242" s="26" t="n">
        <v>236.11</v>
      </c>
      <c r="E242" s="27" t="n">
        <v>30</v>
      </c>
      <c r="F242" s="11" t="n">
        <v>15</v>
      </c>
      <c r="G242" s="11" t="n">
        <v>11</v>
      </c>
    </row>
    <row r="243">
      <c r="A243" s="12" t="inlineStr">
        <is>
          <t>Utah</t>
        </is>
      </c>
      <c r="B243" s="12" t="inlineStr">
        <is>
          <t>Cow-Calf Pairs ($/head)</t>
        </is>
      </c>
      <c r="C243" s="11" t="inlineStr">
        <is>
          <t>$/head</t>
        </is>
      </c>
      <c r="D243" s="28" t="n">
        <v>2960.23</v>
      </c>
      <c r="E243" s="27" t="n">
        <v>1135</v>
      </c>
      <c r="F243" s="11" t="n">
        <v>250</v>
      </c>
      <c r="G243" s="11" t="n">
        <v>41</v>
      </c>
    </row>
    <row r="244">
      <c r="A244" s="12" t="inlineStr">
        <is>
          <t>Utah</t>
        </is>
      </c>
      <c r="B244" s="12" t="inlineStr">
        <is>
          <t>Heifer Pairs ($/head)</t>
        </is>
      </c>
      <c r="C244" s="11" t="inlineStr">
        <is>
          <t>$/head</t>
        </is>
      </c>
      <c r="D244" s="28" t="n">
        <v>2639</v>
      </c>
      <c r="E244" s="27" t="n">
        <v>14</v>
      </c>
      <c r="F244" s="11" t="n">
        <v>10</v>
      </c>
      <c r="G244" s="11" t="n">
        <v>7</v>
      </c>
    </row>
    <row r="245">
      <c r="A245" s="12" t="inlineStr">
        <is>
          <t>Utah</t>
        </is>
      </c>
      <c r="B245" s="12" t="inlineStr">
        <is>
          <t>Replacement Bulls ($/head)</t>
        </is>
      </c>
      <c r="C245" s="11" t="inlineStr">
        <is>
          <t>$/head</t>
        </is>
      </c>
      <c r="D245" s="28" t="n">
        <v>3000</v>
      </c>
      <c r="E245" s="27" t="n">
        <v>1</v>
      </c>
      <c r="F245" s="11" t="n">
        <v>1</v>
      </c>
      <c r="G245" s="11" t="n">
        <v>1</v>
      </c>
    </row>
    <row r="246">
      <c r="A246" s="12" t="inlineStr">
        <is>
          <t>Utah</t>
        </is>
      </c>
      <c r="B246" s="12" t="inlineStr">
        <is>
          <t>Replacement Bulls ($/cwt)</t>
        </is>
      </c>
      <c r="C246" s="11" t="inlineStr">
        <is>
          <t>$/cwt</t>
        </is>
      </c>
      <c r="D246" s="26" t="n">
        <v>210</v>
      </c>
      <c r="E246" s="27" t="n">
        <v>1</v>
      </c>
      <c r="F246" s="11" t="n">
        <v>1</v>
      </c>
      <c r="G246" s="11" t="n">
        <v>1</v>
      </c>
    </row>
    <row r="247">
      <c r="A247" s="12" t="inlineStr">
        <is>
          <t>Virginia</t>
        </is>
      </c>
      <c r="B247" s="12" t="inlineStr">
        <is>
          <t>Overall Feeder</t>
        </is>
      </c>
      <c r="C247" s="11" t="inlineStr">
        <is>
          <t>$/cwt</t>
        </is>
      </c>
      <c r="D247" s="26" t="n">
        <v>336.49</v>
      </c>
      <c r="E247" s="27" t="n">
        <v>153902</v>
      </c>
      <c r="F247" s="11" t="n">
        <v>8062</v>
      </c>
      <c r="G247" s="11" t="n">
        <v>51</v>
      </c>
    </row>
    <row r="248">
      <c r="A248" s="12" t="inlineStr">
        <is>
          <t>Virginia</t>
        </is>
      </c>
      <c r="B248" s="12" t="inlineStr">
        <is>
          <t>Feeder Steers</t>
        </is>
      </c>
      <c r="C248" s="11" t="inlineStr">
        <is>
          <t>$/cwt</t>
        </is>
      </c>
      <c r="D248" s="26" t="n">
        <v>350.67</v>
      </c>
      <c r="E248" s="27" t="n">
        <v>54892</v>
      </c>
      <c r="F248" s="11" t="n">
        <v>3114</v>
      </c>
      <c r="G248" s="11" t="n">
        <v>51</v>
      </c>
    </row>
    <row r="249">
      <c r="A249" s="12" t="inlineStr">
        <is>
          <t>Virginia</t>
        </is>
      </c>
      <c r="B249" s="12" t="inlineStr">
        <is>
          <t>Feeder Heifers</t>
        </is>
      </c>
      <c r="C249" s="11" t="inlineStr">
        <is>
          <t>$/cwt</t>
        </is>
      </c>
      <c r="D249" s="26" t="n">
        <v>316.98</v>
      </c>
      <c r="E249" s="27" t="n">
        <v>65760</v>
      </c>
      <c r="F249" s="11" t="n">
        <v>3020</v>
      </c>
      <c r="G249" s="11" t="n">
        <v>51</v>
      </c>
    </row>
    <row r="250">
      <c r="A250" s="12" t="inlineStr">
        <is>
          <t>Virginia</t>
        </is>
      </c>
      <c r="B250" s="12" t="inlineStr">
        <is>
          <t>Feeder Bulls</t>
        </is>
      </c>
      <c r="C250" s="11" t="inlineStr">
        <is>
          <t>$/cwt</t>
        </is>
      </c>
      <c r="D250" s="26" t="n">
        <v>351.68</v>
      </c>
      <c r="E250" s="27" t="n">
        <v>33250</v>
      </c>
      <c r="F250" s="11" t="n">
        <v>1928</v>
      </c>
      <c r="G250" s="11" t="n">
        <v>51</v>
      </c>
    </row>
    <row r="251">
      <c r="A251" s="12" t="inlineStr">
        <is>
          <t>Wyoming</t>
        </is>
      </c>
      <c r="B251" s="12" t="inlineStr">
        <is>
          <t>Overall Feeder</t>
        </is>
      </c>
      <c r="C251" s="11" t="inlineStr">
        <is>
          <t>$/cwt</t>
        </is>
      </c>
      <c r="D251" s="26" t="n">
        <v>397.04</v>
      </c>
      <c r="E251" s="27" t="n">
        <v>145344</v>
      </c>
      <c r="F251" s="11" t="n">
        <v>1091</v>
      </c>
      <c r="G251" s="11" t="n">
        <v>43</v>
      </c>
    </row>
    <row r="252">
      <c r="A252" s="12" t="inlineStr">
        <is>
          <t>Wyoming</t>
        </is>
      </c>
      <c r="B252" s="12" t="inlineStr">
        <is>
          <t>Feeder Steers</t>
        </is>
      </c>
      <c r="C252" s="11" t="inlineStr">
        <is>
          <t>$/cwt</t>
        </is>
      </c>
      <c r="D252" s="26" t="n">
        <v>414.41</v>
      </c>
      <c r="E252" s="27" t="n">
        <v>80777</v>
      </c>
      <c r="F252" s="11" t="n">
        <v>520</v>
      </c>
      <c r="G252" s="11" t="n">
        <v>42</v>
      </c>
    </row>
    <row r="253">
      <c r="A253" s="12" t="inlineStr">
        <is>
          <t>Wyoming</t>
        </is>
      </c>
      <c r="B253" s="12" t="inlineStr">
        <is>
          <t>Feeder Heifers</t>
        </is>
      </c>
      <c r="C253" s="11" t="inlineStr">
        <is>
          <t>$/cwt</t>
        </is>
      </c>
      <c r="D253" s="26" t="n">
        <v>375.45</v>
      </c>
      <c r="E253" s="27" t="n">
        <v>64284</v>
      </c>
      <c r="F253" s="11" t="n">
        <v>560</v>
      </c>
      <c r="G253" s="11" t="n">
        <v>43</v>
      </c>
    </row>
    <row r="254">
      <c r="A254" s="12" t="inlineStr">
        <is>
          <t>Wyoming</t>
        </is>
      </c>
      <c r="B254" s="12" t="inlineStr">
        <is>
          <t>Feeder Bulls</t>
        </is>
      </c>
      <c r="C254" s="11" t="inlineStr">
        <is>
          <t>$/cwt</t>
        </is>
      </c>
      <c r="D254" s="26" t="n">
        <v>343.37</v>
      </c>
      <c r="E254" s="27" t="n">
        <v>283</v>
      </c>
      <c r="F254" s="11" t="n">
        <v>11</v>
      </c>
      <c r="G254" s="11" t="n">
        <v>6</v>
      </c>
    </row>
    <row r="255">
      <c r="A255" s="12" t="inlineStr">
        <is>
          <t>Wyoming</t>
        </is>
      </c>
      <c r="B255" s="12" t="inlineStr">
        <is>
          <t>Stock Cows ($/cwt)</t>
        </is>
      </c>
      <c r="C255" s="11" t="inlineStr">
        <is>
          <t>$/cwt</t>
        </is>
      </c>
      <c r="D255" s="26" t="n">
        <v>226.47</v>
      </c>
      <c r="E255" s="27" t="n">
        <v>7519</v>
      </c>
      <c r="F255" s="11" t="n">
        <v>134</v>
      </c>
      <c r="G255" s="11" t="n">
        <v>39</v>
      </c>
    </row>
    <row r="256">
      <c r="A256" s="12" t="inlineStr">
        <is>
          <t>Wyoming</t>
        </is>
      </c>
      <c r="B256" s="12" t="inlineStr">
        <is>
          <t>Bred Cows ($/head)</t>
        </is>
      </c>
      <c r="C256" s="11" t="inlineStr">
        <is>
          <t>$/head</t>
        </is>
      </c>
      <c r="D256" s="28" t="n">
        <v>3103.01</v>
      </c>
      <c r="E256" s="27" t="n">
        <v>9122</v>
      </c>
      <c r="F256" s="11" t="n">
        <v>101</v>
      </c>
      <c r="G256" s="11" t="n">
        <v>26</v>
      </c>
    </row>
    <row r="257">
      <c r="A257" s="12" t="inlineStr">
        <is>
          <t>Wyoming</t>
        </is>
      </c>
      <c r="B257" s="12" t="inlineStr">
        <is>
          <t>Bred Heifers ($/head)</t>
        </is>
      </c>
      <c r="C257" s="11" t="inlineStr">
        <is>
          <t>$/head</t>
        </is>
      </c>
      <c r="D257" s="28" t="n">
        <v>3831.66</v>
      </c>
      <c r="E257" s="27" t="n">
        <v>5247</v>
      </c>
      <c r="F257" s="11" t="n">
        <v>30</v>
      </c>
      <c r="G257" s="11" t="n">
        <v>23</v>
      </c>
    </row>
    <row r="258">
      <c r="A258" s="12" t="inlineStr">
        <is>
          <t>Wyoming</t>
        </is>
      </c>
      <c r="B258" s="12" t="inlineStr">
        <is>
          <t>Cow-Calf Pairs ($/head)</t>
        </is>
      </c>
      <c r="C258" s="11" t="inlineStr">
        <is>
          <t>$/head</t>
        </is>
      </c>
      <c r="D258" s="28" t="n">
        <v>3444.13</v>
      </c>
      <c r="E258" s="27" t="n">
        <v>674</v>
      </c>
      <c r="F258" s="11" t="n">
        <v>22</v>
      </c>
      <c r="G258" s="11" t="n">
        <v>9</v>
      </c>
    </row>
    <row r="259">
      <c r="A259" s="12" t="inlineStr">
        <is>
          <t>Wyoming</t>
        </is>
      </c>
      <c r="B259" s="12" t="inlineStr">
        <is>
          <t>Heifer Pairs ($/head)</t>
        </is>
      </c>
      <c r="C259" s="11" t="inlineStr">
        <is>
          <t>$/head</t>
        </is>
      </c>
      <c r="D259" s="28" t="n">
        <v>3840.79</v>
      </c>
      <c r="E259" s="27" t="n">
        <v>119</v>
      </c>
      <c r="F259" s="11" t="n">
        <v>4</v>
      </c>
      <c r="G259" s="11" t="n">
        <v>3</v>
      </c>
    </row>
  </sheetData>
  <autoFilter ref="A1:G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2026-08-28T19:17:55Z</dcterms:created>
  <dcterms:modified xsi:type="dcterms:W3CDTF">2026-08-28T19:17:55Z</dcterms:modified>
</cp:coreProperties>
</file>