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ncing Cost Data" sheetId="1" state="visible" r:id="rId1"/>
    <sheet name="Cost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2E5E3A"/>
      <sz val="16"/>
    </font>
    <font>
      <name val="Arial"/>
      <i val="1"/>
      <color rgb="00555555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b val="1"/>
      <sz val="11"/>
    </font>
    <font>
      <name val="Arial"/>
      <b val="1"/>
      <color rgb="002E5E3A"/>
      <sz val="12"/>
    </font>
    <font>
      <name val="Arial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2E5E3A"/>
      </patternFill>
    </fill>
    <fill>
      <patternFill patternType="solid">
        <fgColor rgb="00D9E8DD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 wrapText="1"/>
    </xf>
    <xf numFmtId="164" fontId="7" fillId="0" borderId="1" pivotButton="0" quotePrefix="0" xfId="0"/>
    <xf numFmtId="4" fontId="8" fillId="4" borderId="1" applyAlignment="1" pivotButton="0" quotePrefix="0" xfId="0">
      <alignment horizontal="center"/>
    </xf>
    <xf numFmtId="3" fontId="2" fillId="0" borderId="1" pivotButton="0" quotePrefix="0" xfId="0"/>
    <xf numFmtId="164" fontId="2" fillId="0" borderId="1" pivotButton="0" quotePrefix="0" xfId="0"/>
    <xf numFmtId="0" fontId="9" fillId="3" borderId="1" applyAlignment="1" pivotButton="0" quotePrefix="0" xfId="0">
      <alignment horizontal="right"/>
    </xf>
    <xf numFmtId="0" fontId="0" fillId="3" borderId="1" pivotButton="0" quotePrefix="0" xfId="0"/>
    <xf numFmtId="4" fontId="6" fillId="3" borderId="1" applyAlignment="1" pivotButton="0" quotePrefix="0" xfId="0">
      <alignment horizontal="center"/>
    </xf>
    <xf numFmtId="3" fontId="6" fillId="3" borderId="1" pivotButton="0" quotePrefix="0" xfId="0"/>
    <xf numFmtId="164" fontId="10" fillId="3" borderId="1" pivotButton="0" quotePrefix="0" xfId="0"/>
    <xf numFmtId="0" fontId="9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Calculator</author>
  </authors>
  <commentList>
    <comment ref="C6" authorId="0" shapeId="0">
      <text>
        <t>Enter miles of this fence type here. Yellow cells are inputs.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Fence Type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Cost per Unit</t>
        </is>
      </c>
      <c r="F1" s="1" t="inlineStr">
        <is>
          <t>Total Cost</t>
        </is>
      </c>
    </row>
    <row r="2">
      <c r="A2" s="2" t="inlineStr">
        <is>
          <t>Woven Wire</t>
        </is>
      </c>
      <c r="B2" s="2" t="inlineStr">
        <is>
          <t>Wood posts (8-inch diameter)</t>
        </is>
      </c>
      <c r="C2" s="3" t="n">
        <v>4</v>
      </c>
      <c r="D2" s="2" t="inlineStr">
        <is>
          <t>each</t>
        </is>
      </c>
      <c r="E2" s="4" t="n">
        <v>35</v>
      </c>
      <c r="F2" s="4" t="n">
        <v>140</v>
      </c>
    </row>
    <row r="3">
      <c r="A3" s="2" t="inlineStr">
        <is>
          <t>Woven Wire</t>
        </is>
      </c>
      <c r="B3" s="2" t="inlineStr">
        <is>
          <t>Wood posts (4-inch diameter)</t>
        </is>
      </c>
      <c r="C3" s="3" t="n">
        <v>57</v>
      </c>
      <c r="D3" s="2" t="inlineStr">
        <is>
          <t>each</t>
        </is>
      </c>
      <c r="E3" s="4" t="n">
        <v>14</v>
      </c>
      <c r="F3" s="4" t="n">
        <v>798</v>
      </c>
    </row>
    <row r="4">
      <c r="A4" s="2" t="inlineStr">
        <is>
          <t>Woven Wire</t>
        </is>
      </c>
      <c r="B4" s="2" t="inlineStr">
        <is>
          <t>Steel posts (6.5 feet)</t>
        </is>
      </c>
      <c r="C4" s="3" t="n">
        <v>55</v>
      </c>
      <c r="D4" s="2" t="inlineStr">
        <is>
          <t>each</t>
        </is>
      </c>
      <c r="E4" s="4" t="n">
        <v>6</v>
      </c>
      <c r="F4" s="4" t="n">
        <v>330</v>
      </c>
    </row>
    <row r="5">
      <c r="A5" s="2" t="inlineStr">
        <is>
          <t>Woven Wire</t>
        </is>
      </c>
      <c r="B5" s="2" t="inlineStr">
        <is>
          <t>Staples and clips</t>
        </is>
      </c>
      <c r="C5" s="3" t="n">
        <v>10</v>
      </c>
      <c r="D5" s="2" t="inlineStr">
        <is>
          <t>pounds</t>
        </is>
      </c>
      <c r="E5" s="4" t="n">
        <v>3.4</v>
      </c>
      <c r="F5" s="4" t="n">
        <v>34</v>
      </c>
    </row>
    <row r="6">
      <c r="A6" s="2" t="inlineStr">
        <is>
          <t>Woven Wire</t>
        </is>
      </c>
      <c r="B6" s="2" t="inlineStr">
        <is>
          <t>Barbed wire (12-gauge)</t>
        </is>
      </c>
      <c r="C6" s="3" t="n">
        <v>1320</v>
      </c>
      <c r="D6" s="2" t="inlineStr">
        <is>
          <t>feet</t>
        </is>
      </c>
      <c r="E6" s="4" t="n">
        <v>0.08</v>
      </c>
      <c r="F6" s="4" t="n">
        <v>109.56</v>
      </c>
    </row>
    <row r="7">
      <c r="A7" s="2" t="inlineStr">
        <is>
          <t>Woven Wire</t>
        </is>
      </c>
      <c r="B7" s="2" t="inlineStr">
        <is>
          <t>Woven wire (48 inches)</t>
        </is>
      </c>
      <c r="C7" s="3" t="n">
        <v>1320</v>
      </c>
      <c r="D7" s="2" t="inlineStr">
        <is>
          <t>feet</t>
        </is>
      </c>
      <c r="E7" s="4" t="n">
        <v>0.63</v>
      </c>
      <c r="F7" s="4" t="n">
        <v>831.6</v>
      </c>
    </row>
    <row r="8">
      <c r="A8" s="2" t="inlineStr">
        <is>
          <t>Woven Wire</t>
        </is>
      </c>
      <c r="B8" s="2" t="inlineStr">
        <is>
          <t>Labor and equipment</t>
        </is>
      </c>
      <c r="C8" s="3" t="n">
        <v>42</v>
      </c>
      <c r="D8" s="2" t="inlineStr">
        <is>
          <t>hours</t>
        </is>
      </c>
      <c r="E8" s="4" t="n">
        <v>20</v>
      </c>
      <c r="F8" s="4" t="n">
        <v>840</v>
      </c>
    </row>
    <row r="9">
      <c r="A9" s="5" t="inlineStr">
        <is>
          <t>Woven Wire</t>
        </is>
      </c>
      <c r="B9" s="5" t="inlineStr">
        <is>
          <t>TOTAL</t>
        </is>
      </c>
      <c r="C9" s="5" t="n"/>
      <c r="D9" s="5" t="n"/>
      <c r="E9" s="5" t="n"/>
      <c r="F9" s="6" t="n">
        <v>3083.16</v>
      </c>
    </row>
    <row r="10">
      <c r="A10" s="5" t="inlineStr">
        <is>
          <t>Woven Wire</t>
        </is>
      </c>
      <c r="B10" s="5" t="inlineStr">
        <is>
          <t>Total per foot</t>
        </is>
      </c>
      <c r="C10" s="5" t="n"/>
      <c r="D10" s="5" t="n"/>
      <c r="E10" s="5" t="n"/>
      <c r="F10" s="6" t="n">
        <v>2.34</v>
      </c>
    </row>
    <row r="11">
      <c r="A11" s="2" t="inlineStr">
        <is>
          <t>Barbed Wire</t>
        </is>
      </c>
      <c r="B11" s="2" t="inlineStr">
        <is>
          <t>Wood posts (8-inch diameter)</t>
        </is>
      </c>
      <c r="C11" s="3" t="n">
        <v>4</v>
      </c>
      <c r="D11" s="2" t="inlineStr">
        <is>
          <t>each</t>
        </is>
      </c>
      <c r="E11" s="4" t="n">
        <v>35</v>
      </c>
      <c r="F11" s="4" t="n">
        <v>140</v>
      </c>
    </row>
    <row r="12">
      <c r="A12" s="2" t="inlineStr">
        <is>
          <t>Barbed Wire</t>
        </is>
      </c>
      <c r="B12" s="2" t="inlineStr">
        <is>
          <t>Wood posts (4-inch diameter)</t>
        </is>
      </c>
      <c r="C12" s="3" t="n">
        <v>57</v>
      </c>
      <c r="D12" s="2" t="inlineStr">
        <is>
          <t>each</t>
        </is>
      </c>
      <c r="E12" s="4" t="n">
        <v>14</v>
      </c>
      <c r="F12" s="4" t="n">
        <v>798</v>
      </c>
    </row>
    <row r="13">
      <c r="A13" s="2" t="inlineStr">
        <is>
          <t>Barbed Wire</t>
        </is>
      </c>
      <c r="B13" s="2" t="inlineStr">
        <is>
          <t>Steel posts (6.5 feet)</t>
        </is>
      </c>
      <c r="C13" s="3" t="n">
        <v>55</v>
      </c>
      <c r="D13" s="2" t="inlineStr">
        <is>
          <t>each</t>
        </is>
      </c>
      <c r="E13" s="4" t="n">
        <v>6</v>
      </c>
      <c r="F13" s="4" t="n">
        <v>330</v>
      </c>
    </row>
    <row r="14">
      <c r="A14" s="2" t="inlineStr">
        <is>
          <t>Barbed Wire</t>
        </is>
      </c>
      <c r="B14" s="2" t="inlineStr">
        <is>
          <t>Staples and clips</t>
        </is>
      </c>
      <c r="C14" s="3" t="n">
        <v>10</v>
      </c>
      <c r="D14" s="2" t="inlineStr">
        <is>
          <t>pounds</t>
        </is>
      </c>
      <c r="E14" s="4" t="n">
        <v>3.4</v>
      </c>
      <c r="F14" s="4" t="n">
        <v>34</v>
      </c>
    </row>
    <row r="15">
      <c r="A15" s="2" t="inlineStr">
        <is>
          <t>Barbed Wire</t>
        </is>
      </c>
      <c r="B15" s="2" t="inlineStr">
        <is>
          <t>Barbed wire (12-gauge)</t>
        </is>
      </c>
      <c r="C15" s="3" t="n">
        <v>6600</v>
      </c>
      <c r="D15" s="2" t="inlineStr">
        <is>
          <t>feet</t>
        </is>
      </c>
      <c r="E15" s="4" t="n">
        <v>0.08</v>
      </c>
      <c r="F15" s="4" t="n">
        <v>547.8</v>
      </c>
    </row>
    <row r="16">
      <c r="A16" s="2" t="inlineStr">
        <is>
          <t>Barbed Wire</t>
        </is>
      </c>
      <c r="B16" s="2" t="inlineStr">
        <is>
          <t>Labor and equipment</t>
        </is>
      </c>
      <c r="C16" s="3" t="n">
        <v>39</v>
      </c>
      <c r="D16" s="2" t="inlineStr">
        <is>
          <t>hours</t>
        </is>
      </c>
      <c r="E16" s="4" t="n">
        <v>20</v>
      </c>
      <c r="F16" s="4" t="n">
        <v>780</v>
      </c>
    </row>
    <row r="17">
      <c r="A17" s="5" t="inlineStr">
        <is>
          <t>Barbed Wire</t>
        </is>
      </c>
      <c r="B17" s="5" t="inlineStr">
        <is>
          <t>TOTAL</t>
        </is>
      </c>
      <c r="C17" s="5" t="n"/>
      <c r="D17" s="5" t="n"/>
      <c r="E17" s="5" t="n"/>
      <c r="F17" s="6" t="n">
        <v>2629.8</v>
      </c>
    </row>
    <row r="18">
      <c r="A18" s="5" t="inlineStr">
        <is>
          <t>Barbed Wire</t>
        </is>
      </c>
      <c r="B18" s="5" t="inlineStr">
        <is>
          <t>Total per foot</t>
        </is>
      </c>
      <c r="C18" s="5" t="n"/>
      <c r="D18" s="5" t="n"/>
      <c r="E18" s="5" t="n"/>
      <c r="F18" s="6" t="n">
        <v>1.99</v>
      </c>
    </row>
    <row r="19">
      <c r="A19" s="2" t="inlineStr">
        <is>
          <t>High Tensile Non-Electric</t>
        </is>
      </c>
      <c r="B19" s="2" t="inlineStr">
        <is>
          <t>Wood posts (8-inch diameter)</t>
        </is>
      </c>
      <c r="C19" s="3" t="n">
        <v>6</v>
      </c>
      <c r="D19" s="2" t="inlineStr">
        <is>
          <t>each</t>
        </is>
      </c>
      <c r="E19" s="4" t="n">
        <v>35</v>
      </c>
      <c r="F19" s="4" t="n">
        <v>210</v>
      </c>
    </row>
    <row r="20">
      <c r="A20" s="2" t="inlineStr">
        <is>
          <t>High Tensile Non-Electric</t>
        </is>
      </c>
      <c r="B20" s="2" t="inlineStr">
        <is>
          <t>Wood posts (4-inch diameter)</t>
        </is>
      </c>
      <c r="C20" s="3" t="n">
        <v>65</v>
      </c>
      <c r="D20" s="2" t="inlineStr">
        <is>
          <t>each</t>
        </is>
      </c>
      <c r="E20" s="4" t="n">
        <v>14</v>
      </c>
      <c r="F20" s="4" t="n">
        <v>910</v>
      </c>
    </row>
    <row r="21">
      <c r="A21" s="2" t="inlineStr">
        <is>
          <t>High Tensile Non-Electric</t>
        </is>
      </c>
      <c r="B21" s="2" t="inlineStr">
        <is>
          <t>Staples</t>
        </is>
      </c>
      <c r="C21" s="3" t="n">
        <v>10</v>
      </c>
      <c r="D21" s="2" t="inlineStr">
        <is>
          <t>pounds</t>
        </is>
      </c>
      <c r="E21" s="4" t="n">
        <v>3.4</v>
      </c>
      <c r="F21" s="4" t="n">
        <v>34</v>
      </c>
    </row>
    <row r="22">
      <c r="A22" s="2" t="inlineStr">
        <is>
          <t>High Tensile Non-Electric</t>
        </is>
      </c>
      <c r="B22" s="2" t="inlineStr">
        <is>
          <t>Springs</t>
        </is>
      </c>
      <c r="C22" s="3" t="n">
        <v>8</v>
      </c>
      <c r="D22" s="2" t="inlineStr">
        <is>
          <t>each</t>
        </is>
      </c>
      <c r="E22" s="4" t="n">
        <v>9</v>
      </c>
      <c r="F22" s="4" t="n">
        <v>72</v>
      </c>
    </row>
    <row r="23">
      <c r="A23" s="2" t="inlineStr">
        <is>
          <t>High Tensile Non-Electric</t>
        </is>
      </c>
      <c r="B23" s="2" t="inlineStr">
        <is>
          <t>Strainers</t>
        </is>
      </c>
      <c r="C23" s="3" t="n">
        <v>8</v>
      </c>
      <c r="D23" s="2" t="inlineStr">
        <is>
          <t>each</t>
        </is>
      </c>
      <c r="E23" s="4" t="n">
        <v>4.5</v>
      </c>
      <c r="F23" s="4" t="n">
        <v>36</v>
      </c>
    </row>
    <row r="24">
      <c r="A24" s="2" t="inlineStr">
        <is>
          <t>High Tensile Non-Electric</t>
        </is>
      </c>
      <c r="B24" s="2" t="inlineStr">
        <is>
          <t>High tensile wire</t>
        </is>
      </c>
      <c r="C24" s="3" t="n">
        <v>10560</v>
      </c>
      <c r="D24" s="2" t="inlineStr">
        <is>
          <t>feet</t>
        </is>
      </c>
      <c r="E24" s="4" t="n">
        <v>0.06</v>
      </c>
      <c r="F24" s="4" t="n">
        <v>633.6</v>
      </c>
    </row>
    <row r="25">
      <c r="A25" s="2" t="inlineStr">
        <is>
          <t>High Tensile Non-Electric</t>
        </is>
      </c>
      <c r="B25" s="2" t="inlineStr">
        <is>
          <t>Labor and equipment</t>
        </is>
      </c>
      <c r="C25" s="3" t="n">
        <v>32</v>
      </c>
      <c r="D25" s="2" t="inlineStr">
        <is>
          <t>hours</t>
        </is>
      </c>
      <c r="E25" s="4" t="n">
        <v>20</v>
      </c>
      <c r="F25" s="4" t="n">
        <v>640</v>
      </c>
    </row>
    <row r="26">
      <c r="A26" s="5" t="inlineStr">
        <is>
          <t>High Tensile Non-Electric</t>
        </is>
      </c>
      <c r="B26" s="5" t="inlineStr">
        <is>
          <t>TOTAL</t>
        </is>
      </c>
      <c r="C26" s="5" t="n"/>
      <c r="D26" s="5" t="n"/>
      <c r="E26" s="5" t="n"/>
      <c r="F26" s="6" t="n">
        <v>2535.6</v>
      </c>
    </row>
    <row r="27">
      <c r="A27" s="5" t="inlineStr">
        <is>
          <t>High Tensile Non-Electric</t>
        </is>
      </c>
      <c r="B27" s="5" t="inlineStr">
        <is>
          <t>Total per foot</t>
        </is>
      </c>
      <c r="C27" s="5" t="n"/>
      <c r="D27" s="5" t="n"/>
      <c r="E27" s="5" t="n"/>
      <c r="F27" s="6" t="n">
        <v>1.92</v>
      </c>
    </row>
    <row r="28">
      <c r="A28" s="2" t="inlineStr">
        <is>
          <t>High Tensile Electrified</t>
        </is>
      </c>
      <c r="B28" s="2" t="inlineStr">
        <is>
          <t>Wood posts (8-inch diameter)</t>
        </is>
      </c>
      <c r="C28" s="3" t="n">
        <v>6</v>
      </c>
      <c r="D28" s="2" t="inlineStr">
        <is>
          <t>each</t>
        </is>
      </c>
      <c r="E28" s="4" t="n">
        <v>35</v>
      </c>
      <c r="F28" s="4" t="n">
        <v>210</v>
      </c>
    </row>
    <row r="29">
      <c r="A29" s="2" t="inlineStr">
        <is>
          <t>High Tensile Electrified</t>
        </is>
      </c>
      <c r="B29" s="2" t="inlineStr">
        <is>
          <t>Wood posts (4-inch diameter)</t>
        </is>
      </c>
      <c r="C29" s="3" t="n">
        <v>4</v>
      </c>
      <c r="D29" s="2" t="inlineStr">
        <is>
          <t>each</t>
        </is>
      </c>
      <c r="E29" s="4" t="n">
        <v>14</v>
      </c>
      <c r="F29" s="4" t="n">
        <v>56</v>
      </c>
    </row>
    <row r="30">
      <c r="A30" s="2" t="inlineStr">
        <is>
          <t>High Tensile Electrified</t>
        </is>
      </c>
      <c r="B30" s="2" t="inlineStr">
        <is>
          <t>Steel posts (6.5 feet)</t>
        </is>
      </c>
      <c r="C30" s="3" t="n">
        <v>52</v>
      </c>
      <c r="D30" s="2" t="inlineStr">
        <is>
          <t>each</t>
        </is>
      </c>
      <c r="E30" s="4" t="n">
        <v>6</v>
      </c>
      <c r="F30" s="4" t="n">
        <v>312</v>
      </c>
    </row>
    <row r="31">
      <c r="A31" s="2" t="inlineStr">
        <is>
          <t>High Tensile Electrified</t>
        </is>
      </c>
      <c r="B31" s="2" t="inlineStr">
        <is>
          <t>Insulators</t>
        </is>
      </c>
      <c r="C31" s="3" t="n">
        <v>285</v>
      </c>
      <c r="D31" s="2" t="inlineStr">
        <is>
          <t>each</t>
        </is>
      </c>
      <c r="E31" s="4" t="n">
        <v>0.22</v>
      </c>
      <c r="F31" s="4" t="n">
        <v>62.7</v>
      </c>
    </row>
    <row r="32">
      <c r="A32" s="2" t="inlineStr">
        <is>
          <t>High Tensile Electrified</t>
        </is>
      </c>
      <c r="B32" s="2" t="inlineStr">
        <is>
          <t>Springs</t>
        </is>
      </c>
      <c r="C32" s="3" t="n">
        <v>5</v>
      </c>
      <c r="D32" s="2" t="inlineStr">
        <is>
          <t>each</t>
        </is>
      </c>
      <c r="E32" s="4" t="n">
        <v>9</v>
      </c>
      <c r="F32" s="4" t="n">
        <v>45</v>
      </c>
    </row>
    <row r="33">
      <c r="A33" s="2" t="inlineStr">
        <is>
          <t>High Tensile Electrified</t>
        </is>
      </c>
      <c r="B33" s="2" t="inlineStr">
        <is>
          <t>Strainers</t>
        </is>
      </c>
      <c r="C33" s="3" t="n">
        <v>5</v>
      </c>
      <c r="D33" s="2" t="inlineStr">
        <is>
          <t>each</t>
        </is>
      </c>
      <c r="E33" s="4" t="n">
        <v>4.5</v>
      </c>
      <c r="F33" s="4" t="n">
        <v>22.5</v>
      </c>
    </row>
    <row r="34">
      <c r="A34" s="2" t="inlineStr">
        <is>
          <t>High Tensile Electrified</t>
        </is>
      </c>
      <c r="B34" s="2" t="inlineStr">
        <is>
          <t>High tensile wire</t>
        </is>
      </c>
      <c r="C34" s="3" t="n">
        <v>6600</v>
      </c>
      <c r="D34" s="2" t="inlineStr">
        <is>
          <t>feet</t>
        </is>
      </c>
      <c r="E34" s="4" t="n">
        <v>0.06</v>
      </c>
      <c r="F34" s="4" t="n">
        <v>396</v>
      </c>
    </row>
    <row r="35">
      <c r="A35" s="2" t="inlineStr">
        <is>
          <t>High Tensile Electrified</t>
        </is>
      </c>
      <c r="B35" s="2" t="inlineStr">
        <is>
          <t>Energizer</t>
        </is>
      </c>
      <c r="C35" s="3" t="n">
        <v>0.25</v>
      </c>
      <c r="D35" s="2" t="inlineStr">
        <is>
          <t>unit</t>
        </is>
      </c>
      <c r="E35" s="4" t="n">
        <v>200</v>
      </c>
      <c r="F35" s="4" t="n">
        <v>50</v>
      </c>
    </row>
    <row r="36">
      <c r="A36" s="2" t="inlineStr">
        <is>
          <t>High Tensile Electrified</t>
        </is>
      </c>
      <c r="B36" s="2" t="inlineStr">
        <is>
          <t>Cut-out switch</t>
        </is>
      </c>
      <c r="C36" s="3" t="n">
        <v>1</v>
      </c>
      <c r="D36" s="2" t="inlineStr">
        <is>
          <t>each</t>
        </is>
      </c>
      <c r="E36" s="4" t="n">
        <v>15</v>
      </c>
      <c r="F36" s="4" t="n">
        <v>15</v>
      </c>
    </row>
    <row r="37">
      <c r="A37" s="2" t="inlineStr">
        <is>
          <t>High Tensile Electrified</t>
        </is>
      </c>
      <c r="B37" s="2" t="inlineStr">
        <is>
          <t>Ground or lightning rods</t>
        </is>
      </c>
      <c r="C37" s="3" t="n">
        <v>4</v>
      </c>
      <c r="D37" s="2" t="inlineStr">
        <is>
          <t>each</t>
        </is>
      </c>
      <c r="E37" s="4" t="n">
        <v>16</v>
      </c>
      <c r="F37" s="4" t="n">
        <v>64</v>
      </c>
    </row>
    <row r="38">
      <c r="A38" s="2" t="inlineStr">
        <is>
          <t>High Tensile Electrified</t>
        </is>
      </c>
      <c r="B38" s="2" t="inlineStr">
        <is>
          <t>Labor and equipment</t>
        </is>
      </c>
      <c r="C38" s="3" t="n">
        <v>18</v>
      </c>
      <c r="D38" s="2" t="inlineStr">
        <is>
          <t>hours</t>
        </is>
      </c>
      <c r="E38" s="4" t="n">
        <v>20</v>
      </c>
      <c r="F38" s="4" t="n">
        <v>360</v>
      </c>
    </row>
    <row r="39">
      <c r="A39" s="5" t="inlineStr">
        <is>
          <t>High Tensile Electrified</t>
        </is>
      </c>
      <c r="B39" s="5" t="inlineStr">
        <is>
          <t>TOTAL</t>
        </is>
      </c>
      <c r="C39" s="5" t="n"/>
      <c r="D39" s="5" t="n"/>
      <c r="E39" s="5" t="n"/>
      <c r="F39" s="6" t="n">
        <v>1593.2</v>
      </c>
    </row>
    <row r="40">
      <c r="A40" s="5" t="inlineStr">
        <is>
          <t>High Tensile Electrified</t>
        </is>
      </c>
      <c r="B40" s="5" t="inlineStr">
        <is>
          <t>Total per foot</t>
        </is>
      </c>
      <c r="C40" s="5" t="n"/>
      <c r="D40" s="5" t="n"/>
      <c r="E40" s="5" t="n"/>
      <c r="F40" s="6" t="n">
        <v>1.21</v>
      </c>
    </row>
    <row r="41">
      <c r="A41" s="2" t="inlineStr">
        <is>
          <t>Electrified Polywire (interior)</t>
        </is>
      </c>
      <c r="B41" s="2" t="inlineStr">
        <is>
          <t>Wood posts (4-inch diameter)</t>
        </is>
      </c>
      <c r="C41" s="3" t="n">
        <v>2</v>
      </c>
      <c r="D41" s="2" t="inlineStr">
        <is>
          <t>each</t>
        </is>
      </c>
      <c r="E41" s="4" t="n">
        <v>14</v>
      </c>
      <c r="F41" s="4" t="n">
        <v>28</v>
      </c>
    </row>
    <row r="42">
      <c r="A42" s="2" t="inlineStr">
        <is>
          <t>Electrified Polywire (interior)</t>
        </is>
      </c>
      <c r="B42" s="2" t="inlineStr">
        <is>
          <t>Fiberglass posts (3/8 in x 4 ft)</t>
        </is>
      </c>
      <c r="C42" s="3" t="n">
        <v>33</v>
      </c>
      <c r="D42" s="2" t="inlineStr">
        <is>
          <t>each</t>
        </is>
      </c>
      <c r="E42" s="4" t="n">
        <v>2</v>
      </c>
      <c r="F42" s="4" t="n">
        <v>66</v>
      </c>
    </row>
    <row r="43">
      <c r="A43" s="2" t="inlineStr">
        <is>
          <t>Electrified Polywire (interior)</t>
        </is>
      </c>
      <c r="B43" s="2" t="inlineStr">
        <is>
          <t>Insulators</t>
        </is>
      </c>
      <c r="C43" s="3" t="n">
        <v>2</v>
      </c>
      <c r="D43" s="2" t="inlineStr">
        <is>
          <t>each</t>
        </is>
      </c>
      <c r="E43" s="4" t="n">
        <v>0.22</v>
      </c>
      <c r="F43" s="4" t="n">
        <v>0.44</v>
      </c>
    </row>
    <row r="44">
      <c r="A44" s="2" t="inlineStr">
        <is>
          <t>Electrified Polywire (interior)</t>
        </is>
      </c>
      <c r="B44" s="2" t="inlineStr">
        <is>
          <t>Post clips</t>
        </is>
      </c>
      <c r="C44" s="3" t="n">
        <v>42</v>
      </c>
      <c r="D44" s="2" t="inlineStr">
        <is>
          <t>each</t>
        </is>
      </c>
      <c r="E44" s="4" t="n">
        <v>0.48</v>
      </c>
      <c r="F44" s="4" t="n">
        <v>20.16</v>
      </c>
    </row>
    <row r="45">
      <c r="A45" s="2" t="inlineStr">
        <is>
          <t>Electrified Polywire (interior)</t>
        </is>
      </c>
      <c r="B45" s="2" t="inlineStr">
        <is>
          <t>Polywire</t>
        </is>
      </c>
      <c r="C45" s="3" t="n">
        <v>1320</v>
      </c>
      <c r="D45" s="2" t="inlineStr">
        <is>
          <t>feet</t>
        </is>
      </c>
      <c r="E45" s="4" t="n">
        <v>0.033</v>
      </c>
      <c r="F45" s="4" t="n">
        <v>43.56</v>
      </c>
    </row>
    <row r="46">
      <c r="A46" s="2" t="inlineStr">
        <is>
          <t>Electrified Polywire (interior)</t>
        </is>
      </c>
      <c r="B46" s="2" t="inlineStr">
        <is>
          <t>Energizer</t>
        </is>
      </c>
      <c r="C46" s="3" t="n">
        <v>0.25</v>
      </c>
      <c r="D46" s="2" t="inlineStr">
        <is>
          <t>unit</t>
        </is>
      </c>
      <c r="E46" s="4" t="n">
        <v>200</v>
      </c>
      <c r="F46" s="4" t="n">
        <v>50</v>
      </c>
    </row>
    <row r="47">
      <c r="A47" s="2" t="inlineStr">
        <is>
          <t>Electrified Polywire (interior)</t>
        </is>
      </c>
      <c r="B47" s="2" t="inlineStr">
        <is>
          <t>Cut-out switch</t>
        </is>
      </c>
      <c r="C47" s="3" t="n">
        <v>1</v>
      </c>
      <c r="D47" s="2" t="inlineStr">
        <is>
          <t>each</t>
        </is>
      </c>
      <c r="E47" s="4" t="n">
        <v>15</v>
      </c>
      <c r="F47" s="4" t="n">
        <v>15</v>
      </c>
    </row>
    <row r="48">
      <c r="A48" s="2" t="inlineStr">
        <is>
          <t>Electrified Polywire (interior)</t>
        </is>
      </c>
      <c r="B48" s="2" t="inlineStr">
        <is>
          <t>Ground or lightning rods</t>
        </is>
      </c>
      <c r="C48" s="3" t="n">
        <v>4</v>
      </c>
      <c r="D48" s="2" t="inlineStr">
        <is>
          <t>each</t>
        </is>
      </c>
      <c r="E48" s="4" t="n">
        <v>16</v>
      </c>
      <c r="F48" s="4" t="n">
        <v>64</v>
      </c>
    </row>
    <row r="49">
      <c r="A49" s="2" t="inlineStr">
        <is>
          <t>Electrified Polywire (interior)</t>
        </is>
      </c>
      <c r="B49" s="2" t="inlineStr">
        <is>
          <t>Labor and equipment</t>
        </is>
      </c>
      <c r="C49" s="3" t="n">
        <v>2</v>
      </c>
      <c r="D49" s="2" t="inlineStr">
        <is>
          <t>hours</t>
        </is>
      </c>
      <c r="E49" s="4" t="n">
        <v>20</v>
      </c>
      <c r="F49" s="4" t="n">
        <v>40</v>
      </c>
    </row>
    <row r="50">
      <c r="A50" s="5" t="inlineStr">
        <is>
          <t>Electrified Polywire (interior)</t>
        </is>
      </c>
      <c r="B50" s="5" t="inlineStr">
        <is>
          <t>TOTAL</t>
        </is>
      </c>
      <c r="C50" s="5" t="n"/>
      <c r="D50" s="5" t="n"/>
      <c r="E50" s="5" t="n"/>
      <c r="F50" s="6" t="n">
        <v>327.16</v>
      </c>
    </row>
    <row r="51">
      <c r="A51" s="5" t="inlineStr">
        <is>
          <t>Electrified Polywire (interior)</t>
        </is>
      </c>
      <c r="B51" s="5" t="inlineStr">
        <is>
          <t>Total per foot</t>
        </is>
      </c>
      <c r="C51" s="5" t="n"/>
      <c r="D51" s="5" t="n"/>
      <c r="E51" s="5" t="n"/>
      <c r="F51" s="6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7" t="inlineStr">
        <is>
          <t>Livestock Fencing Cost Calculator</t>
        </is>
      </c>
    </row>
    <row r="2">
      <c r="A2" s="8" t="inlineStr">
        <is>
          <t>Enter the miles of each fence type you need in the yellow cells. Total cost fills in automatically.</t>
        </is>
      </c>
    </row>
    <row r="3">
      <c r="A3" s="9" t="inlineStr">
        <is>
          <t>Feet per mile:</t>
        </is>
      </c>
      <c r="B3" s="10" t="n">
        <v>5280</v>
      </c>
    </row>
    <row r="5" ht="28" customHeight="1">
      <c r="A5" s="11" t="inlineStr">
        <is>
          <t>Fence Type</t>
        </is>
      </c>
      <c r="B5" s="11" t="inlineStr">
        <is>
          <t>Cost per Foot</t>
        </is>
      </c>
      <c r="C5" s="11" t="inlineStr">
        <is>
          <t>Miles Needed</t>
        </is>
      </c>
      <c r="D5" s="11" t="inlineStr">
        <is>
          <t>Feet Needed</t>
        </is>
      </c>
      <c r="E5" s="11" t="inlineStr">
        <is>
          <t>Total Cost</t>
        </is>
      </c>
    </row>
    <row r="6">
      <c r="A6" s="2" t="inlineStr">
        <is>
          <t>Woven Wire</t>
        </is>
      </c>
      <c r="B6" s="12">
        <f>SUMIFS('Fencing Cost Data'!$F:$F,'Fencing Cost Data'!$A:$A,$A6,'Fencing Cost Data'!$B:$B,"Total per foot")</f>
        <v>2.34</v>
      </c>
      <c r="C6" s="13" t="n">
        <v>0</v>
      </c>
      <c r="D6" s="14">
        <f>C6*$B$3</f>
        <v>0</v>
      </c>
      <c r="E6" s="15">
        <f>D6*B6</f>
        <v>0</v>
      </c>
    </row>
    <row r="7">
      <c r="A7" s="2" t="inlineStr">
        <is>
          <t>Barbed Wire</t>
        </is>
      </c>
      <c r="B7" s="12">
        <f>SUMIFS('Fencing Cost Data'!$F:$F,'Fencing Cost Data'!$A:$A,$A7,'Fencing Cost Data'!$B:$B,"Total per foot")</f>
        <v>1.99</v>
      </c>
      <c r="C7" s="13" t="n">
        <v>0</v>
      </c>
      <c r="D7" s="14">
        <f>C7*$B$3</f>
        <v>0</v>
      </c>
      <c r="E7" s="15">
        <f>D7*B7</f>
        <v>0</v>
      </c>
    </row>
    <row r="8">
      <c r="A8" s="2" t="inlineStr">
        <is>
          <t>High Tensile Non-Electric</t>
        </is>
      </c>
      <c r="B8" s="12">
        <f>SUMIFS('Fencing Cost Data'!$F:$F,'Fencing Cost Data'!$A:$A,$A8,'Fencing Cost Data'!$B:$B,"Total per foot")</f>
        <v>1.92</v>
      </c>
      <c r="C8" s="13" t="n">
        <v>0</v>
      </c>
      <c r="D8" s="14">
        <f>C8*$B$3</f>
        <v>0</v>
      </c>
      <c r="E8" s="15">
        <f>D8*B8</f>
        <v>0</v>
      </c>
    </row>
    <row r="9">
      <c r="A9" s="2" t="inlineStr">
        <is>
          <t>High Tensile Electrified</t>
        </is>
      </c>
      <c r="B9" s="12">
        <f>SUMIFS('Fencing Cost Data'!$F:$F,'Fencing Cost Data'!$A:$A,$A9,'Fencing Cost Data'!$B:$B,"Total per foot")</f>
        <v>1.21</v>
      </c>
      <c r="C9" s="13" t="n">
        <v>0</v>
      </c>
      <c r="D9" s="14">
        <f>C9*$B$3</f>
        <v>0</v>
      </c>
      <c r="E9" s="15">
        <f>D9*B9</f>
        <v>0</v>
      </c>
    </row>
    <row r="10">
      <c r="A10" s="2" t="inlineStr">
        <is>
          <t>Electrified Polywire (interior)</t>
        </is>
      </c>
      <c r="B10" s="12">
        <f>SUMIFS('Fencing Cost Data'!$F:$F,'Fencing Cost Data'!$A:$A,$A10,'Fencing Cost Data'!$B:$B,"Total per foot")</f>
        <v>0.25</v>
      </c>
      <c r="C10" s="13" t="n">
        <v>0</v>
      </c>
      <c r="D10" s="14">
        <f>C10*$B$3</f>
        <v>0</v>
      </c>
      <c r="E10" s="15">
        <f>D10*B10</f>
        <v>0</v>
      </c>
    </row>
    <row r="11">
      <c r="A11" s="16" t="inlineStr">
        <is>
          <t>TOTAL ESTIMATED COST</t>
        </is>
      </c>
      <c r="B11" s="17" t="n"/>
      <c r="C11" s="18">
        <f>SUM(C6:C10)</f>
        <v/>
      </c>
      <c r="D11" s="19">
        <f>SUM(D6:D10)</f>
        <v>0</v>
      </c>
      <c r="E11" s="20">
        <f>SUM(E6:E10)</f>
        <v>0</v>
      </c>
    </row>
    <row r="13">
      <c r="A13" s="21" t="inlineStr">
        <is>
          <t>How to use</t>
        </is>
      </c>
    </row>
    <row r="14">
      <c r="A14" s="22" t="inlineStr">
        <is>
          <t>• Type the number of miles you need for each fence type in the yellow 'Miles Needed' column.</t>
        </is>
      </c>
    </row>
    <row r="15">
      <c r="A15" s="22" t="inlineStr">
        <is>
          <t>• 'Cost per Foot' is pulled automatically from the 'Fencing Cost Data' tab and updates if that data changes.</t>
        </is>
      </c>
    </row>
    <row r="16">
      <c r="A16" s="22" t="inlineStr">
        <is>
          <t>• Feet Needed = Miles × Feet per mile (5,280). Total Cost = Feet Needed × Cost per Foot.</t>
        </is>
      </c>
    </row>
    <row r="17">
      <c r="A17" s="22" t="inlineStr">
        <is>
          <t>• Costs are per-foot construction estimates (materials, posts, wire, labor &amp; equipment) from the source data.</t>
        </is>
      </c>
    </row>
    <row r="18">
      <c r="A18" s="22" t="inlineStr">
        <is>
          <t>• Example: entering 2 miles of Woven Wire = 2 × 5,280 ft × per-foot cost.</t>
        </is>
      </c>
    </row>
  </sheetData>
  <mergeCells count="8">
    <mergeCell ref="A2:E2"/>
    <mergeCell ref="A16:E16"/>
    <mergeCell ref="A15:E15"/>
    <mergeCell ref="A11:B11"/>
    <mergeCell ref="A1:E1"/>
    <mergeCell ref="A14:E14"/>
    <mergeCell ref="A17:E17"/>
    <mergeCell ref="A18:E1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2026-08-28T19:40:28Z</dcterms:created>
  <dcterms:modified xsi:type="dcterms:W3CDTF">2026-08-28T19:40:28Z</dcterms:modified>
</cp:coreProperties>
</file>