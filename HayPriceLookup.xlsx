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HayData" sheetId="2" state="visible" r:id="rId2"/>
    <sheet name="Lists" sheetId="3" state="visible" r:id="rId3"/>
    <sheet name="Lookup" sheetId="4" state="visible" r:id="rId4"/>
    <sheet name="Ab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4" fillId="0" borderId="0" pivotButton="0" quotePrefix="0" xfId="0"/>
    <xf numFmtId="0" fontId="4" fillId="3" borderId="1" pivotButton="0" quotePrefix="0" xfId="0"/>
    <xf numFmtId="0" fontId="6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2" customWidth="1" min="4" max="4"/>
    <col width="15" customWidth="1" min="5" max="5"/>
    <col width="14" customWidth="1" min="6" max="6"/>
    <col width="10" customWidth="1" min="7" max="7"/>
    <col width="10" customWidth="1" min="8" max="8"/>
    <col width="17" customWidth="1" min="9" max="9"/>
    <col width="18" customWidth="1" min="10" max="10"/>
  </cols>
  <sheetData>
    <row r="1">
      <c r="A1" s="1" t="inlineStr">
        <is>
          <t>Source Detail — USDA AMS Direct Hay Reports (per-ton rows, Good-band Alfalfa)</t>
        </is>
      </c>
    </row>
    <row r="2">
      <c r="A2" s="2" t="inlineStr">
        <is>
          <t>Class=Alfalfa; Quality in (Good, Fair/Good, Good/Premium); Per-Ton only. Latest report within 8 weeks (since 07/06/2026). Pulled 08/31/2026 from USDA AMS MARS API.</t>
        </is>
      </c>
    </row>
    <row r="4">
      <c r="A4" s="3" t="inlineStr">
        <is>
          <t>State</t>
        </is>
      </c>
      <c r="B4" s="3" t="inlineStr">
        <is>
          <t>Period Begin</t>
        </is>
      </c>
      <c r="C4" s="3" t="inlineStr">
        <is>
          <t>Period End</t>
        </is>
      </c>
      <c r="D4" s="3" t="inlineStr">
        <is>
          <t>Class</t>
        </is>
      </c>
      <c r="E4" s="3" t="inlineStr">
        <is>
          <t>Quality</t>
        </is>
      </c>
      <c r="F4" s="3" t="inlineStr">
        <is>
          <t>Region</t>
        </is>
      </c>
      <c r="G4" s="3" t="inlineStr">
        <is>
          <t>Price Min</t>
        </is>
      </c>
      <c r="H4" s="3" t="inlineStr">
        <is>
          <t>Price Max</t>
        </is>
      </c>
      <c r="I4" s="3" t="inlineStr">
        <is>
          <t>Wtd Avg (reported)</t>
        </is>
      </c>
      <c r="J4" s="3" t="inlineStr">
        <is>
          <t>Effective $/ton (used)</t>
        </is>
      </c>
    </row>
    <row r="5">
      <c r="A5" s="4" t="inlineStr">
        <is>
          <t>Arizona</t>
        </is>
      </c>
      <c r="B5" s="4" t="inlineStr">
        <is>
          <t>07/20/2026</t>
        </is>
      </c>
      <c r="C5" s="4" t="inlineStr">
        <is>
          <t>07/24/2026</t>
        </is>
      </c>
      <c r="D5" s="4" t="inlineStr">
        <is>
          <t>Alfalfa</t>
        </is>
      </c>
      <c r="E5" s="4" t="inlineStr">
        <is>
          <t>Good/Premium</t>
        </is>
      </c>
      <c r="F5" s="4" t="n"/>
      <c r="G5" s="5" t="n">
        <v>210</v>
      </c>
      <c r="H5" s="5" t="n">
        <v>210</v>
      </c>
      <c r="I5" s="5" t="n">
        <v>0</v>
      </c>
      <c r="J5" s="5">
        <f>IF(I5=0,(G5+H5)/2,I5)</f>
        <v/>
      </c>
    </row>
    <row r="6">
      <c r="A6" s="4" t="inlineStr">
        <is>
          <t>California</t>
        </is>
      </c>
      <c r="B6" s="4" t="inlineStr">
        <is>
          <t>08/24/2026</t>
        </is>
      </c>
      <c r="C6" s="4" t="inlineStr">
        <is>
          <t>08/28/2026</t>
        </is>
      </c>
      <c r="D6" s="4" t="inlineStr">
        <is>
          <t>Alfalfa</t>
        </is>
      </c>
      <c r="E6" s="4" t="inlineStr">
        <is>
          <t>Fair/Good</t>
        </is>
      </c>
      <c r="F6" s="4" t="inlineStr">
        <is>
          <t>North Inter-Mountains</t>
        </is>
      </c>
      <c r="G6" s="5" t="n">
        <v>185</v>
      </c>
      <c r="H6" s="5" t="n">
        <v>185</v>
      </c>
      <c r="I6" s="5" t="n">
        <v>185</v>
      </c>
      <c r="J6" s="5">
        <f>IF(I6=0,(G6+H6)/2,I6)</f>
        <v/>
      </c>
    </row>
    <row r="7">
      <c r="A7" s="4" t="inlineStr">
        <is>
          <t>California</t>
        </is>
      </c>
      <c r="B7" s="4" t="inlineStr">
        <is>
          <t>08/24/2026</t>
        </is>
      </c>
      <c r="C7" s="4" t="inlineStr">
        <is>
          <t>08/28/2026</t>
        </is>
      </c>
      <c r="D7" s="4" t="inlineStr">
        <is>
          <t>Alfalfa</t>
        </is>
      </c>
      <c r="E7" s="4" t="inlineStr">
        <is>
          <t>Good</t>
        </is>
      </c>
      <c r="F7" s="4" t="inlineStr">
        <is>
          <t>North Inter-Mountains</t>
        </is>
      </c>
      <c r="G7" s="5" t="n">
        <v>190</v>
      </c>
      <c r="H7" s="5" t="n">
        <v>195</v>
      </c>
      <c r="I7" s="5" t="n">
        <v>191.92</v>
      </c>
      <c r="J7" s="5">
        <f>IF(I7=0,(G7+H7)/2,I7)</f>
        <v/>
      </c>
    </row>
    <row r="8">
      <c r="A8" s="4" t="inlineStr">
        <is>
          <t>California</t>
        </is>
      </c>
      <c r="B8" s="4" t="inlineStr">
        <is>
          <t>08/24/2026</t>
        </is>
      </c>
      <c r="C8" s="4" t="inlineStr">
        <is>
          <t>08/28/2026</t>
        </is>
      </c>
      <c r="D8" s="4" t="inlineStr">
        <is>
          <t>Alfalfa</t>
        </is>
      </c>
      <c r="E8" s="4" t="inlineStr">
        <is>
          <t>Good</t>
        </is>
      </c>
      <c r="F8" s="4" t="inlineStr">
        <is>
          <t>North San Joaquin Valley</t>
        </is>
      </c>
      <c r="G8" s="5" t="n">
        <v>180</v>
      </c>
      <c r="H8" s="5" t="n">
        <v>180</v>
      </c>
      <c r="I8" s="5" t="n">
        <v>180</v>
      </c>
      <c r="J8" s="5">
        <f>IF(I8=0,(G8+H8)/2,I8)</f>
        <v/>
      </c>
    </row>
    <row r="9">
      <c r="A9" s="4" t="inlineStr">
        <is>
          <t>California</t>
        </is>
      </c>
      <c r="B9" s="4" t="inlineStr">
        <is>
          <t>08/24/2026</t>
        </is>
      </c>
      <c r="C9" s="4" t="inlineStr">
        <is>
          <t>08/28/2026</t>
        </is>
      </c>
      <c r="D9" s="4" t="inlineStr">
        <is>
          <t>Alfalfa</t>
        </is>
      </c>
      <c r="E9" s="4" t="inlineStr">
        <is>
          <t>Good</t>
        </is>
      </c>
      <c r="F9" s="4" t="inlineStr">
        <is>
          <t>North San Joaquin Valley</t>
        </is>
      </c>
      <c r="G9" s="5" t="n">
        <v>200</v>
      </c>
      <c r="H9" s="5" t="n">
        <v>215</v>
      </c>
      <c r="I9" s="5" t="n">
        <v>203.46</v>
      </c>
      <c r="J9" s="5">
        <f>IF(I9=0,(G9+H9)/2,I9)</f>
        <v/>
      </c>
    </row>
    <row r="10">
      <c r="A10" s="4" t="inlineStr">
        <is>
          <t>California</t>
        </is>
      </c>
      <c r="B10" s="4" t="inlineStr">
        <is>
          <t>08/24/2026</t>
        </is>
      </c>
      <c r="C10" s="4" t="inlineStr">
        <is>
          <t>08/28/2026</t>
        </is>
      </c>
      <c r="D10" s="4" t="inlineStr">
        <is>
          <t>Alfalfa</t>
        </is>
      </c>
      <c r="E10" s="4" t="inlineStr">
        <is>
          <t>Good</t>
        </is>
      </c>
      <c r="F10" s="4" t="inlineStr">
        <is>
          <t>Southeast</t>
        </is>
      </c>
      <c r="G10" s="5" t="n">
        <v>175</v>
      </c>
      <c r="H10" s="5" t="n">
        <v>175</v>
      </c>
      <c r="I10" s="5" t="n">
        <v>175</v>
      </c>
      <c r="J10" s="5">
        <f>IF(I10=0,(G10+H10)/2,I10)</f>
        <v/>
      </c>
    </row>
    <row r="11">
      <c r="A11" s="4" t="inlineStr">
        <is>
          <t>California</t>
        </is>
      </c>
      <c r="B11" s="4" t="inlineStr">
        <is>
          <t>08/24/2026</t>
        </is>
      </c>
      <c r="C11" s="4" t="inlineStr">
        <is>
          <t>08/28/2026</t>
        </is>
      </c>
      <c r="D11" s="4" t="inlineStr">
        <is>
          <t>Alfalfa</t>
        </is>
      </c>
      <c r="E11" s="4" t="inlineStr">
        <is>
          <t>Good</t>
        </is>
      </c>
      <c r="F11" s="4" t="inlineStr">
        <is>
          <t>Southeast</t>
        </is>
      </c>
      <c r="G11" s="5" t="n">
        <v>200</v>
      </c>
      <c r="H11" s="5" t="n">
        <v>200</v>
      </c>
      <c r="I11" s="5" t="n">
        <v>200</v>
      </c>
      <c r="J11" s="5">
        <f>IF(I11=0,(G11+H11)/2,I11)</f>
        <v/>
      </c>
    </row>
    <row r="12">
      <c r="A12" s="4" t="inlineStr">
        <is>
          <t>Colorado</t>
        </is>
      </c>
      <c r="B12" s="4" t="inlineStr">
        <is>
          <t>08/24/2026</t>
        </is>
      </c>
      <c r="C12" s="4" t="inlineStr">
        <is>
          <t>08/28/2026</t>
        </is>
      </c>
      <c r="D12" s="4" t="inlineStr">
        <is>
          <t>Alfalfa</t>
        </is>
      </c>
      <c r="E12" s="4" t="inlineStr">
        <is>
          <t>Good/Premium</t>
        </is>
      </c>
      <c r="F12" s="4" t="inlineStr">
        <is>
          <t>Northeast</t>
        </is>
      </c>
      <c r="G12" s="5" t="n">
        <v>335</v>
      </c>
      <c r="H12" s="5" t="n">
        <v>335</v>
      </c>
      <c r="I12" s="5" t="n">
        <v>335</v>
      </c>
      <c r="J12" s="5">
        <f>IF(I12=0,(G12+H12)/2,I12)</f>
        <v/>
      </c>
    </row>
    <row r="13">
      <c r="A13" s="4" t="inlineStr">
        <is>
          <t>Colorado</t>
        </is>
      </c>
      <c r="B13" s="4" t="inlineStr">
        <is>
          <t>08/24/2026</t>
        </is>
      </c>
      <c r="C13" s="4" t="inlineStr">
        <is>
          <t>08/28/2026</t>
        </is>
      </c>
      <c r="D13" s="4" t="inlineStr">
        <is>
          <t>Alfalfa</t>
        </is>
      </c>
      <c r="E13" s="4" t="inlineStr">
        <is>
          <t>Good/Premium</t>
        </is>
      </c>
      <c r="F13" s="4" t="inlineStr">
        <is>
          <t>Southeast</t>
        </is>
      </c>
      <c r="G13" s="5" t="n">
        <v>325</v>
      </c>
      <c r="H13" s="5" t="n">
        <v>325</v>
      </c>
      <c r="I13" s="5" t="n">
        <v>325</v>
      </c>
      <c r="J13" s="5">
        <f>IF(I13=0,(G13+H13)/2,I13)</f>
        <v/>
      </c>
    </row>
    <row r="14">
      <c r="A14" s="4" t="inlineStr">
        <is>
          <t>Idaho</t>
        </is>
      </c>
      <c r="B14" s="4" t="inlineStr">
        <is>
          <t>08/17/2026</t>
        </is>
      </c>
      <c r="C14" s="4" t="inlineStr">
        <is>
          <t>08/21/2026</t>
        </is>
      </c>
      <c r="D14" s="4" t="inlineStr">
        <is>
          <t>Alfalfa</t>
        </is>
      </c>
      <c r="E14" s="4" t="inlineStr">
        <is>
          <t>Good</t>
        </is>
      </c>
      <c r="F14" s="4" t="inlineStr">
        <is>
          <t>East</t>
        </is>
      </c>
      <c r="G14" s="5" t="n">
        <v>225</v>
      </c>
      <c r="H14" s="5" t="n">
        <v>225</v>
      </c>
      <c r="I14" s="5" t="n">
        <v>225</v>
      </c>
      <c r="J14" s="5">
        <f>IF(I14=0,(G14+H14)/2,I14)</f>
        <v/>
      </c>
    </row>
    <row r="15">
      <c r="A15" s="4" t="inlineStr">
        <is>
          <t>Idaho</t>
        </is>
      </c>
      <c r="B15" s="4" t="inlineStr">
        <is>
          <t>08/17/2026</t>
        </is>
      </c>
      <c r="C15" s="4" t="inlineStr">
        <is>
          <t>08/21/2026</t>
        </is>
      </c>
      <c r="D15" s="4" t="inlineStr">
        <is>
          <t>Alfalfa</t>
        </is>
      </c>
      <c r="E15" s="4" t="inlineStr">
        <is>
          <t>Good</t>
        </is>
      </c>
      <c r="F15" s="4" t="inlineStr">
        <is>
          <t>East</t>
        </is>
      </c>
      <c r="G15" s="5" t="n">
        <v>215</v>
      </c>
      <c r="H15" s="5" t="n">
        <v>215</v>
      </c>
      <c r="I15" s="5" t="n">
        <v>215</v>
      </c>
      <c r="J15" s="5">
        <f>IF(I15=0,(G15+H15)/2,I15)</f>
        <v/>
      </c>
    </row>
    <row r="16">
      <c r="A16" s="4" t="inlineStr">
        <is>
          <t>Idaho</t>
        </is>
      </c>
      <c r="B16" s="4" t="inlineStr">
        <is>
          <t>08/17/2026</t>
        </is>
      </c>
      <c r="C16" s="4" t="inlineStr">
        <is>
          <t>08/21/2026</t>
        </is>
      </c>
      <c r="D16" s="4" t="inlineStr">
        <is>
          <t>Alfalfa</t>
        </is>
      </c>
      <c r="E16" s="4" t="inlineStr">
        <is>
          <t>Good</t>
        </is>
      </c>
      <c r="F16" s="4" t="inlineStr">
        <is>
          <t>South</t>
        </is>
      </c>
      <c r="G16" s="5" t="n">
        <v>220</v>
      </c>
      <c r="H16" s="5" t="n">
        <v>220</v>
      </c>
      <c r="I16" s="5" t="n">
        <v>220</v>
      </c>
      <c r="J16" s="5">
        <f>IF(I16=0,(G16+H16)/2,I16)</f>
        <v/>
      </c>
    </row>
    <row r="17">
      <c r="A17" s="4" t="inlineStr">
        <is>
          <t>Idaho</t>
        </is>
      </c>
      <c r="B17" s="4" t="inlineStr">
        <is>
          <t>08/17/2026</t>
        </is>
      </c>
      <c r="C17" s="4" t="inlineStr">
        <is>
          <t>08/21/2026</t>
        </is>
      </c>
      <c r="D17" s="4" t="inlineStr">
        <is>
          <t>Alfalfa</t>
        </is>
      </c>
      <c r="E17" s="4" t="inlineStr">
        <is>
          <t>Good</t>
        </is>
      </c>
      <c r="F17" s="4" t="inlineStr">
        <is>
          <t>Southeast</t>
        </is>
      </c>
      <c r="G17" s="5" t="n">
        <v>230</v>
      </c>
      <c r="H17" s="5" t="n">
        <v>230</v>
      </c>
      <c r="I17" s="5" t="n">
        <v>230</v>
      </c>
      <c r="J17" s="5">
        <f>IF(I17=0,(G17+H17)/2,I17)</f>
        <v/>
      </c>
    </row>
    <row r="18">
      <c r="A18" s="4" t="inlineStr">
        <is>
          <t>Idaho</t>
        </is>
      </c>
      <c r="B18" s="4" t="inlineStr">
        <is>
          <t>08/17/2026</t>
        </is>
      </c>
      <c r="C18" s="4" t="inlineStr">
        <is>
          <t>08/21/2026</t>
        </is>
      </c>
      <c r="D18" s="4" t="inlineStr">
        <is>
          <t>Alfalfa</t>
        </is>
      </c>
      <c r="E18" s="4" t="inlineStr">
        <is>
          <t>Good</t>
        </is>
      </c>
      <c r="F18" s="4" t="inlineStr">
        <is>
          <t>West</t>
        </is>
      </c>
      <c r="G18" s="5" t="n">
        <v>240</v>
      </c>
      <c r="H18" s="5" t="n">
        <v>240</v>
      </c>
      <c r="I18" s="5" t="n">
        <v>240</v>
      </c>
      <c r="J18" s="5">
        <f>IF(I18=0,(G18+H18)/2,I18)</f>
        <v/>
      </c>
    </row>
    <row r="19">
      <c r="A19" s="4" t="inlineStr">
        <is>
          <t>Iowa</t>
        </is>
      </c>
      <c r="B19" s="4" t="inlineStr">
        <is>
          <t>07/27/2026</t>
        </is>
      </c>
      <c r="C19" s="4" t="inlineStr">
        <is>
          <t>07/31/2026</t>
        </is>
      </c>
      <c r="D19" s="4" t="inlineStr">
        <is>
          <t>Alfalfa</t>
        </is>
      </c>
      <c r="E19" s="4" t="inlineStr">
        <is>
          <t>Good</t>
        </is>
      </c>
      <c r="F19" s="4" t="n"/>
      <c r="G19" s="5" t="n">
        <v>120</v>
      </c>
      <c r="H19" s="5" t="n">
        <v>120</v>
      </c>
      <c r="I19" s="5" t="n">
        <v>120</v>
      </c>
      <c r="J19" s="5">
        <f>IF(I19=0,(G19+H19)/2,I19)</f>
        <v/>
      </c>
    </row>
    <row r="20">
      <c r="A20" s="4" t="inlineStr">
        <is>
          <t>Kansas</t>
        </is>
      </c>
      <c r="B20" s="4" t="inlineStr">
        <is>
          <t>08/10/2026</t>
        </is>
      </c>
      <c r="C20" s="4" t="inlineStr">
        <is>
          <t>08/14/2026</t>
        </is>
      </c>
      <c r="D20" s="4" t="inlineStr">
        <is>
          <t>Alfalfa</t>
        </is>
      </c>
      <c r="E20" s="4" t="inlineStr">
        <is>
          <t>Fair/Good</t>
        </is>
      </c>
      <c r="F20" s="4" t="inlineStr">
        <is>
          <t>North Central</t>
        </is>
      </c>
      <c r="G20" s="5" t="n">
        <v>180</v>
      </c>
      <c r="H20" s="5" t="n">
        <v>180</v>
      </c>
      <c r="I20" s="5" t="n">
        <v>180</v>
      </c>
      <c r="J20" s="5">
        <f>IF(I20=0,(G20+H20)/2,I20)</f>
        <v/>
      </c>
    </row>
    <row r="21">
      <c r="A21" s="4" t="inlineStr">
        <is>
          <t>Kansas</t>
        </is>
      </c>
      <c r="B21" s="4" t="inlineStr">
        <is>
          <t>08/10/2026</t>
        </is>
      </c>
      <c r="C21" s="4" t="inlineStr">
        <is>
          <t>08/14/2026</t>
        </is>
      </c>
      <c r="D21" s="4" t="inlineStr">
        <is>
          <t>Alfalfa</t>
        </is>
      </c>
      <c r="E21" s="4" t="inlineStr">
        <is>
          <t>Fair/Good</t>
        </is>
      </c>
      <c r="F21" s="4" t="inlineStr">
        <is>
          <t>North Central</t>
        </is>
      </c>
      <c r="G21" s="5" t="n">
        <v>150</v>
      </c>
      <c r="H21" s="5" t="n">
        <v>150</v>
      </c>
      <c r="I21" s="5" t="n">
        <v>150</v>
      </c>
      <c r="J21" s="5">
        <f>IF(I21=0,(G21+H21)/2,I21)</f>
        <v/>
      </c>
    </row>
    <row r="22">
      <c r="A22" s="4" t="inlineStr">
        <is>
          <t>Kansas</t>
        </is>
      </c>
      <c r="B22" s="4" t="inlineStr">
        <is>
          <t>08/10/2026</t>
        </is>
      </c>
      <c r="C22" s="4" t="inlineStr">
        <is>
          <t>08/14/2026</t>
        </is>
      </c>
      <c r="D22" s="4" t="inlineStr">
        <is>
          <t>Alfalfa</t>
        </is>
      </c>
      <c r="E22" s="4" t="inlineStr">
        <is>
          <t>Fair/Good</t>
        </is>
      </c>
      <c r="F22" s="4" t="inlineStr">
        <is>
          <t>North Central</t>
        </is>
      </c>
      <c r="G22" s="5" t="n">
        <v>175</v>
      </c>
      <c r="H22" s="5" t="n">
        <v>175</v>
      </c>
      <c r="I22" s="5" t="n">
        <v>175</v>
      </c>
      <c r="J22" s="5">
        <f>IF(I22=0,(G22+H22)/2,I22)</f>
        <v/>
      </c>
    </row>
    <row r="23">
      <c r="A23" s="4" t="inlineStr">
        <is>
          <t>Kansas</t>
        </is>
      </c>
      <c r="B23" s="4" t="inlineStr">
        <is>
          <t>08/10/2026</t>
        </is>
      </c>
      <c r="C23" s="4" t="inlineStr">
        <is>
          <t>08/14/2026</t>
        </is>
      </c>
      <c r="D23" s="4" t="inlineStr">
        <is>
          <t>Alfalfa</t>
        </is>
      </c>
      <c r="E23" s="4" t="inlineStr">
        <is>
          <t>Fair/Good</t>
        </is>
      </c>
      <c r="F23" s="4" t="inlineStr">
        <is>
          <t>North Central</t>
        </is>
      </c>
      <c r="G23" s="5" t="n">
        <v>150</v>
      </c>
      <c r="H23" s="5" t="n">
        <v>220</v>
      </c>
      <c r="I23" s="5" t="n">
        <v>180.27</v>
      </c>
      <c r="J23" s="5">
        <f>IF(I23=0,(G23+H23)/2,I23)</f>
        <v/>
      </c>
    </row>
    <row r="24">
      <c r="A24" s="4" t="inlineStr">
        <is>
          <t>Kansas</t>
        </is>
      </c>
      <c r="B24" s="4" t="inlineStr">
        <is>
          <t>08/10/2026</t>
        </is>
      </c>
      <c r="C24" s="4" t="inlineStr">
        <is>
          <t>08/14/2026</t>
        </is>
      </c>
      <c r="D24" s="4" t="inlineStr">
        <is>
          <t>Alfalfa</t>
        </is>
      </c>
      <c r="E24" s="4" t="inlineStr">
        <is>
          <t>Fair/Good</t>
        </is>
      </c>
      <c r="F24" s="4" t="inlineStr">
        <is>
          <t>North Central</t>
        </is>
      </c>
      <c r="G24" s="5" t="n">
        <v>175</v>
      </c>
      <c r="H24" s="5" t="n">
        <v>175</v>
      </c>
      <c r="I24" s="5" t="n">
        <v>175</v>
      </c>
      <c r="J24" s="5">
        <f>IF(I24=0,(G24+H24)/2,I24)</f>
        <v/>
      </c>
    </row>
    <row r="25">
      <c r="A25" s="4" t="inlineStr">
        <is>
          <t>Kansas</t>
        </is>
      </c>
      <c r="B25" s="4" t="inlineStr">
        <is>
          <t>08/10/2026</t>
        </is>
      </c>
      <c r="C25" s="4" t="inlineStr">
        <is>
          <t>08/14/2026</t>
        </is>
      </c>
      <c r="D25" s="4" t="inlineStr">
        <is>
          <t>Alfalfa</t>
        </is>
      </c>
      <c r="E25" s="4" t="inlineStr">
        <is>
          <t>Fair/Good</t>
        </is>
      </c>
      <c r="F25" s="4" t="inlineStr">
        <is>
          <t>North Central</t>
        </is>
      </c>
      <c r="G25" s="5" t="n">
        <v>200</v>
      </c>
      <c r="H25" s="5" t="n">
        <v>200</v>
      </c>
      <c r="I25" s="5" t="n">
        <v>200</v>
      </c>
      <c r="J25" s="5">
        <f>IF(I25=0,(G25+H25)/2,I25)</f>
        <v/>
      </c>
    </row>
    <row r="26">
      <c r="A26" s="4" t="inlineStr">
        <is>
          <t>Kansas</t>
        </is>
      </c>
      <c r="B26" s="4" t="inlineStr">
        <is>
          <t>08/10/2026</t>
        </is>
      </c>
      <c r="C26" s="4" t="inlineStr">
        <is>
          <t>08/14/2026</t>
        </is>
      </c>
      <c r="D26" s="4" t="inlineStr">
        <is>
          <t>Alfalfa</t>
        </is>
      </c>
      <c r="E26" s="4" t="inlineStr">
        <is>
          <t>Fair/Good</t>
        </is>
      </c>
      <c r="F26" s="4" t="inlineStr">
        <is>
          <t>Northwest</t>
        </is>
      </c>
      <c r="G26" s="5" t="n">
        <v>190</v>
      </c>
      <c r="H26" s="5" t="n">
        <v>190</v>
      </c>
      <c r="I26" s="5" t="n">
        <v>190</v>
      </c>
      <c r="J26" s="5">
        <f>IF(I26=0,(G26+H26)/2,I26)</f>
        <v/>
      </c>
    </row>
    <row r="27">
      <c r="A27" s="4" t="inlineStr">
        <is>
          <t>Kansas</t>
        </is>
      </c>
      <c r="B27" s="4" t="inlineStr">
        <is>
          <t>08/10/2026</t>
        </is>
      </c>
      <c r="C27" s="4" t="inlineStr">
        <is>
          <t>08/14/2026</t>
        </is>
      </c>
      <c r="D27" s="4" t="inlineStr">
        <is>
          <t>Alfalfa</t>
        </is>
      </c>
      <c r="E27" s="4" t="inlineStr">
        <is>
          <t>Fair/Good</t>
        </is>
      </c>
      <c r="F27" s="4" t="inlineStr">
        <is>
          <t>Northwest</t>
        </is>
      </c>
      <c r="G27" s="5" t="n">
        <v>225</v>
      </c>
      <c r="H27" s="5" t="n">
        <v>225</v>
      </c>
      <c r="I27" s="5" t="n">
        <v>225</v>
      </c>
      <c r="J27" s="5">
        <f>IF(I27=0,(G27+H27)/2,I27)</f>
        <v/>
      </c>
    </row>
    <row r="28">
      <c r="A28" s="4" t="inlineStr">
        <is>
          <t>Kansas</t>
        </is>
      </c>
      <c r="B28" s="4" t="inlineStr">
        <is>
          <t>08/10/2026</t>
        </is>
      </c>
      <c r="C28" s="4" t="inlineStr">
        <is>
          <t>08/14/2026</t>
        </is>
      </c>
      <c r="D28" s="4" t="inlineStr">
        <is>
          <t>Alfalfa</t>
        </is>
      </c>
      <c r="E28" s="4" t="inlineStr">
        <is>
          <t>Fair/Good</t>
        </is>
      </c>
      <c r="F28" s="4" t="inlineStr">
        <is>
          <t>South Central</t>
        </is>
      </c>
      <c r="G28" s="5" t="n">
        <v>235</v>
      </c>
      <c r="H28" s="5" t="n">
        <v>235</v>
      </c>
      <c r="I28" s="5" t="n">
        <v>235</v>
      </c>
      <c r="J28" s="5">
        <f>IF(I28=0,(G28+H28)/2,I28)</f>
        <v/>
      </c>
    </row>
    <row r="29">
      <c r="A29" s="4" t="inlineStr">
        <is>
          <t>Kansas</t>
        </is>
      </c>
      <c r="B29" s="4" t="inlineStr">
        <is>
          <t>08/10/2026</t>
        </is>
      </c>
      <c r="C29" s="4" t="inlineStr">
        <is>
          <t>08/14/2026</t>
        </is>
      </c>
      <c r="D29" s="4" t="inlineStr">
        <is>
          <t>Alfalfa</t>
        </is>
      </c>
      <c r="E29" s="4" t="inlineStr">
        <is>
          <t>Fair/Good</t>
        </is>
      </c>
      <c r="F29" s="4" t="inlineStr">
        <is>
          <t>South Central</t>
        </is>
      </c>
      <c r="G29" s="5" t="n">
        <v>195</v>
      </c>
      <c r="H29" s="5" t="n">
        <v>205</v>
      </c>
      <c r="I29" s="5" t="n">
        <v>200.32</v>
      </c>
      <c r="J29" s="5">
        <f>IF(I29=0,(G29+H29)/2,I29)</f>
        <v/>
      </c>
    </row>
    <row r="30">
      <c r="A30" s="4" t="inlineStr">
        <is>
          <t>Kansas</t>
        </is>
      </c>
      <c r="B30" s="4" t="inlineStr">
        <is>
          <t>08/10/2026</t>
        </is>
      </c>
      <c r="C30" s="4" t="inlineStr">
        <is>
          <t>08/14/2026</t>
        </is>
      </c>
      <c r="D30" s="4" t="inlineStr">
        <is>
          <t>Alfalfa</t>
        </is>
      </c>
      <c r="E30" s="4" t="inlineStr">
        <is>
          <t>Fair/Good</t>
        </is>
      </c>
      <c r="F30" s="4" t="inlineStr">
        <is>
          <t>South Central</t>
        </is>
      </c>
      <c r="G30" s="5" t="n">
        <v>175</v>
      </c>
      <c r="H30" s="5" t="n">
        <v>200</v>
      </c>
      <c r="I30" s="5" t="n">
        <v>192.78</v>
      </c>
      <c r="J30" s="5">
        <f>IF(I30=0,(G30+H30)/2,I30)</f>
        <v/>
      </c>
    </row>
    <row r="31">
      <c r="A31" s="4" t="inlineStr">
        <is>
          <t>Kansas</t>
        </is>
      </c>
      <c r="B31" s="4" t="inlineStr">
        <is>
          <t>08/10/2026</t>
        </is>
      </c>
      <c r="C31" s="4" t="inlineStr">
        <is>
          <t>08/14/2026</t>
        </is>
      </c>
      <c r="D31" s="4" t="inlineStr">
        <is>
          <t>Alfalfa</t>
        </is>
      </c>
      <c r="E31" s="4" t="inlineStr">
        <is>
          <t>Fair/Good</t>
        </is>
      </c>
      <c r="F31" s="4" t="inlineStr">
        <is>
          <t>South Central</t>
        </is>
      </c>
      <c r="G31" s="5" t="n">
        <v>215</v>
      </c>
      <c r="H31" s="5" t="n">
        <v>215</v>
      </c>
      <c r="I31" s="5" t="n">
        <v>215</v>
      </c>
      <c r="J31" s="5">
        <f>IF(I31=0,(G31+H31)/2,I31)</f>
        <v/>
      </c>
    </row>
    <row r="32">
      <c r="A32" s="4" t="inlineStr">
        <is>
          <t>Kansas</t>
        </is>
      </c>
      <c r="B32" s="4" t="inlineStr">
        <is>
          <t>08/10/2026</t>
        </is>
      </c>
      <c r="C32" s="4" t="inlineStr">
        <is>
          <t>08/14/2026</t>
        </is>
      </c>
      <c r="D32" s="4" t="inlineStr">
        <is>
          <t>Alfalfa</t>
        </is>
      </c>
      <c r="E32" s="4" t="inlineStr">
        <is>
          <t>Fair/Good</t>
        </is>
      </c>
      <c r="F32" s="4" t="inlineStr">
        <is>
          <t>South Central</t>
        </is>
      </c>
      <c r="G32" s="5" t="n">
        <v>190</v>
      </c>
      <c r="H32" s="5" t="n">
        <v>190</v>
      </c>
      <c r="I32" s="5" t="n">
        <v>190</v>
      </c>
      <c r="J32" s="5">
        <f>IF(I32=0,(G32+H32)/2,I32)</f>
        <v/>
      </c>
    </row>
    <row r="33">
      <c r="A33" s="4" t="inlineStr">
        <is>
          <t>Kansas</t>
        </is>
      </c>
      <c r="B33" s="4" t="inlineStr">
        <is>
          <t>08/10/2026</t>
        </is>
      </c>
      <c r="C33" s="4" t="inlineStr">
        <is>
          <t>08/14/2026</t>
        </is>
      </c>
      <c r="D33" s="4" t="inlineStr">
        <is>
          <t>Alfalfa</t>
        </is>
      </c>
      <c r="E33" s="4" t="inlineStr">
        <is>
          <t>Fair/Good</t>
        </is>
      </c>
      <c r="F33" s="4" t="inlineStr">
        <is>
          <t>South Central</t>
        </is>
      </c>
      <c r="G33" s="5" t="n">
        <v>238</v>
      </c>
      <c r="H33" s="5" t="n">
        <v>250</v>
      </c>
      <c r="I33" s="5" t="n">
        <v>246.47</v>
      </c>
      <c r="J33" s="5">
        <f>IF(I33=0,(G33+H33)/2,I33)</f>
        <v/>
      </c>
    </row>
    <row r="34">
      <c r="A34" s="4" t="inlineStr">
        <is>
          <t>Kansas</t>
        </is>
      </c>
      <c r="B34" s="4" t="inlineStr">
        <is>
          <t>08/10/2026</t>
        </is>
      </c>
      <c r="C34" s="4" t="inlineStr">
        <is>
          <t>08/14/2026</t>
        </is>
      </c>
      <c r="D34" s="4" t="inlineStr">
        <is>
          <t>Alfalfa</t>
        </is>
      </c>
      <c r="E34" s="4" t="inlineStr">
        <is>
          <t>Fair/Good</t>
        </is>
      </c>
      <c r="F34" s="4" t="inlineStr">
        <is>
          <t>South Central</t>
        </is>
      </c>
      <c r="G34" s="5" t="n">
        <v>150</v>
      </c>
      <c r="H34" s="5" t="n">
        <v>150</v>
      </c>
      <c r="I34" s="5" t="n">
        <v>150</v>
      </c>
      <c r="J34" s="5">
        <f>IF(I34=0,(G34+H34)/2,I34)</f>
        <v/>
      </c>
    </row>
    <row r="35">
      <c r="A35" s="4" t="inlineStr">
        <is>
          <t>Kansas</t>
        </is>
      </c>
      <c r="B35" s="4" t="inlineStr">
        <is>
          <t>08/10/2026</t>
        </is>
      </c>
      <c r="C35" s="4" t="inlineStr">
        <is>
          <t>08/14/2026</t>
        </is>
      </c>
      <c r="D35" s="4" t="inlineStr">
        <is>
          <t>Alfalfa</t>
        </is>
      </c>
      <c r="E35" s="4" t="inlineStr">
        <is>
          <t>Fair/Good</t>
        </is>
      </c>
      <c r="F35" s="4" t="inlineStr">
        <is>
          <t>South Central</t>
        </is>
      </c>
      <c r="G35" s="5" t="n">
        <v>150</v>
      </c>
      <c r="H35" s="5" t="n">
        <v>150</v>
      </c>
      <c r="I35" s="5" t="n">
        <v>150</v>
      </c>
      <c r="J35" s="5">
        <f>IF(I35=0,(G35+H35)/2,I35)</f>
        <v/>
      </c>
    </row>
    <row r="36">
      <c r="A36" s="4" t="inlineStr">
        <is>
          <t>Kansas</t>
        </is>
      </c>
      <c r="B36" s="4" t="inlineStr">
        <is>
          <t>08/10/2026</t>
        </is>
      </c>
      <c r="C36" s="4" t="inlineStr">
        <is>
          <t>08/14/2026</t>
        </is>
      </c>
      <c r="D36" s="4" t="inlineStr">
        <is>
          <t>Alfalfa</t>
        </is>
      </c>
      <c r="E36" s="4" t="inlineStr">
        <is>
          <t>Fair/Good</t>
        </is>
      </c>
      <c r="F36" s="4" t="inlineStr">
        <is>
          <t>South Central</t>
        </is>
      </c>
      <c r="G36" s="5" t="n">
        <v>180</v>
      </c>
      <c r="H36" s="5" t="n">
        <v>180</v>
      </c>
      <c r="I36" s="5" t="n">
        <v>180</v>
      </c>
      <c r="J36" s="5">
        <f>IF(I36=0,(G36+H36)/2,I36)</f>
        <v/>
      </c>
    </row>
    <row r="37">
      <c r="A37" s="4" t="inlineStr">
        <is>
          <t>Kansas</t>
        </is>
      </c>
      <c r="B37" s="4" t="inlineStr">
        <is>
          <t>08/10/2026</t>
        </is>
      </c>
      <c r="C37" s="4" t="inlineStr">
        <is>
          <t>08/14/2026</t>
        </is>
      </c>
      <c r="D37" s="4" t="inlineStr">
        <is>
          <t>Alfalfa</t>
        </is>
      </c>
      <c r="E37" s="4" t="inlineStr">
        <is>
          <t>Fair/Good</t>
        </is>
      </c>
      <c r="F37" s="4" t="inlineStr">
        <is>
          <t>South Central</t>
        </is>
      </c>
      <c r="G37" s="5" t="n">
        <v>160</v>
      </c>
      <c r="H37" s="5" t="n">
        <v>200</v>
      </c>
      <c r="I37" s="5" t="n">
        <v>194.87</v>
      </c>
      <c r="J37" s="5">
        <f>IF(I37=0,(G37+H37)/2,I37)</f>
        <v/>
      </c>
    </row>
    <row r="38">
      <c r="A38" s="4" t="inlineStr">
        <is>
          <t>Kansas</t>
        </is>
      </c>
      <c r="B38" s="4" t="inlineStr">
        <is>
          <t>08/10/2026</t>
        </is>
      </c>
      <c r="C38" s="4" t="inlineStr">
        <is>
          <t>08/14/2026</t>
        </is>
      </c>
      <c r="D38" s="4" t="inlineStr">
        <is>
          <t>Alfalfa</t>
        </is>
      </c>
      <c r="E38" s="4" t="inlineStr">
        <is>
          <t>Fair/Good</t>
        </is>
      </c>
      <c r="F38" s="4" t="inlineStr">
        <is>
          <t>South Central</t>
        </is>
      </c>
      <c r="G38" s="5" t="n">
        <v>200</v>
      </c>
      <c r="H38" s="5" t="n">
        <v>200</v>
      </c>
      <c r="I38" s="5" t="n">
        <v>200</v>
      </c>
      <c r="J38" s="5">
        <f>IF(I38=0,(G38+H38)/2,I38)</f>
        <v/>
      </c>
    </row>
    <row r="39">
      <c r="A39" s="4" t="inlineStr">
        <is>
          <t>Kansas</t>
        </is>
      </c>
      <c r="B39" s="4" t="inlineStr">
        <is>
          <t>08/10/2026</t>
        </is>
      </c>
      <c r="C39" s="4" t="inlineStr">
        <is>
          <t>08/14/2026</t>
        </is>
      </c>
      <c r="D39" s="4" t="inlineStr">
        <is>
          <t>Alfalfa</t>
        </is>
      </c>
      <c r="E39" s="4" t="inlineStr">
        <is>
          <t>Fair/Good</t>
        </is>
      </c>
      <c r="F39" s="4" t="inlineStr">
        <is>
          <t>South Central</t>
        </is>
      </c>
      <c r="G39" s="5" t="n">
        <v>180</v>
      </c>
      <c r="H39" s="5" t="n">
        <v>230</v>
      </c>
      <c r="I39" s="5" t="n">
        <v>201.82</v>
      </c>
      <c r="J39" s="5">
        <f>IF(I39=0,(G39+H39)/2,I39)</f>
        <v/>
      </c>
    </row>
    <row r="40">
      <c r="A40" s="4" t="inlineStr">
        <is>
          <t>Kansas</t>
        </is>
      </c>
      <c r="B40" s="4" t="inlineStr">
        <is>
          <t>08/10/2026</t>
        </is>
      </c>
      <c r="C40" s="4" t="inlineStr">
        <is>
          <t>08/14/2026</t>
        </is>
      </c>
      <c r="D40" s="4" t="inlineStr">
        <is>
          <t>Alfalfa</t>
        </is>
      </c>
      <c r="E40" s="4" t="inlineStr">
        <is>
          <t>Fair/Good</t>
        </is>
      </c>
      <c r="F40" s="4" t="inlineStr">
        <is>
          <t>Southeast</t>
        </is>
      </c>
      <c r="G40" s="5" t="n">
        <v>125</v>
      </c>
      <c r="H40" s="5" t="n">
        <v>125</v>
      </c>
      <c r="I40" s="5" t="n">
        <v>125</v>
      </c>
      <c r="J40" s="5">
        <f>IF(I40=0,(G40+H40)/2,I40)</f>
        <v/>
      </c>
    </row>
    <row r="41">
      <c r="A41" s="4" t="inlineStr">
        <is>
          <t>Kansas</t>
        </is>
      </c>
      <c r="B41" s="4" t="inlineStr">
        <is>
          <t>08/10/2026</t>
        </is>
      </c>
      <c r="C41" s="4" t="inlineStr">
        <is>
          <t>08/14/2026</t>
        </is>
      </c>
      <c r="D41" s="4" t="inlineStr">
        <is>
          <t>Alfalfa</t>
        </is>
      </c>
      <c r="E41" s="4" t="inlineStr">
        <is>
          <t>Fair/Good</t>
        </is>
      </c>
      <c r="F41" s="4" t="inlineStr">
        <is>
          <t>Southeast</t>
        </is>
      </c>
      <c r="G41" s="5" t="n">
        <v>195</v>
      </c>
      <c r="H41" s="5" t="n">
        <v>200</v>
      </c>
      <c r="I41" s="5" t="n">
        <v>198.33</v>
      </c>
      <c r="J41" s="5">
        <f>IF(I41=0,(G41+H41)/2,I41)</f>
        <v/>
      </c>
    </row>
    <row r="42">
      <c r="A42" s="4" t="inlineStr">
        <is>
          <t>Kansas</t>
        </is>
      </c>
      <c r="B42" s="4" t="inlineStr">
        <is>
          <t>08/10/2026</t>
        </is>
      </c>
      <c r="C42" s="4" t="inlineStr">
        <is>
          <t>08/14/2026</t>
        </is>
      </c>
      <c r="D42" s="4" t="inlineStr">
        <is>
          <t>Alfalfa</t>
        </is>
      </c>
      <c r="E42" s="4" t="inlineStr">
        <is>
          <t>Fair/Good</t>
        </is>
      </c>
      <c r="F42" s="4" t="inlineStr">
        <is>
          <t>Southeast</t>
        </is>
      </c>
      <c r="G42" s="5" t="n">
        <v>200</v>
      </c>
      <c r="H42" s="5" t="n">
        <v>200</v>
      </c>
      <c r="I42" s="5" t="n">
        <v>200</v>
      </c>
      <c r="J42" s="5">
        <f>IF(I42=0,(G42+H42)/2,I42)</f>
        <v/>
      </c>
    </row>
    <row r="43">
      <c r="A43" s="4" t="inlineStr">
        <is>
          <t>Kansas</t>
        </is>
      </c>
      <c r="B43" s="4" t="inlineStr">
        <is>
          <t>08/10/2026</t>
        </is>
      </c>
      <c r="C43" s="4" t="inlineStr">
        <is>
          <t>08/14/2026</t>
        </is>
      </c>
      <c r="D43" s="4" t="inlineStr">
        <is>
          <t>Alfalfa</t>
        </is>
      </c>
      <c r="E43" s="4" t="inlineStr">
        <is>
          <t>Fair/Good</t>
        </is>
      </c>
      <c r="F43" s="4" t="inlineStr">
        <is>
          <t>Southwest</t>
        </is>
      </c>
      <c r="G43" s="5" t="n">
        <v>240</v>
      </c>
      <c r="H43" s="5" t="n">
        <v>260</v>
      </c>
      <c r="I43" s="5" t="n">
        <v>245.71</v>
      </c>
      <c r="J43" s="5">
        <f>IF(I43=0,(G43+H43)/2,I43)</f>
        <v/>
      </c>
    </row>
    <row r="44">
      <c r="A44" s="4" t="inlineStr">
        <is>
          <t>Kansas</t>
        </is>
      </c>
      <c r="B44" s="4" t="inlineStr">
        <is>
          <t>08/10/2026</t>
        </is>
      </c>
      <c r="C44" s="4" t="inlineStr">
        <is>
          <t>08/14/2026</t>
        </is>
      </c>
      <c r="D44" s="4" t="inlineStr">
        <is>
          <t>Alfalfa</t>
        </is>
      </c>
      <c r="E44" s="4" t="inlineStr">
        <is>
          <t>Fair/Good</t>
        </is>
      </c>
      <c r="F44" s="4" t="inlineStr">
        <is>
          <t>Southwest</t>
        </is>
      </c>
      <c r="G44" s="5" t="n">
        <v>225</v>
      </c>
      <c r="H44" s="5" t="n">
        <v>270</v>
      </c>
      <c r="I44" s="5" t="n">
        <v>260.37</v>
      </c>
      <c r="J44" s="5">
        <f>IF(I44=0,(G44+H44)/2,I44)</f>
        <v/>
      </c>
    </row>
    <row r="45">
      <c r="A45" s="4" t="inlineStr">
        <is>
          <t>Kansas</t>
        </is>
      </c>
      <c r="B45" s="4" t="inlineStr">
        <is>
          <t>08/10/2026</t>
        </is>
      </c>
      <c r="C45" s="4" t="inlineStr">
        <is>
          <t>08/14/2026</t>
        </is>
      </c>
      <c r="D45" s="4" t="inlineStr">
        <is>
          <t>Alfalfa</t>
        </is>
      </c>
      <c r="E45" s="4" t="inlineStr">
        <is>
          <t>Fair/Good</t>
        </is>
      </c>
      <c r="F45" s="4" t="inlineStr">
        <is>
          <t>Southwest</t>
        </is>
      </c>
      <c r="G45" s="5" t="n">
        <v>140</v>
      </c>
      <c r="H45" s="5" t="n">
        <v>240</v>
      </c>
      <c r="I45" s="5" t="n">
        <v>230.13</v>
      </c>
      <c r="J45" s="5">
        <f>IF(I45=0,(G45+H45)/2,I45)</f>
        <v/>
      </c>
    </row>
    <row r="46">
      <c r="A46" s="4" t="inlineStr">
        <is>
          <t>Kansas</t>
        </is>
      </c>
      <c r="B46" s="4" t="inlineStr">
        <is>
          <t>08/10/2026</t>
        </is>
      </c>
      <c r="C46" s="4" t="inlineStr">
        <is>
          <t>08/14/2026</t>
        </is>
      </c>
      <c r="D46" s="4" t="inlineStr">
        <is>
          <t>Alfalfa</t>
        </is>
      </c>
      <c r="E46" s="4" t="inlineStr">
        <is>
          <t>Fair/Good</t>
        </is>
      </c>
      <c r="F46" s="4" t="inlineStr">
        <is>
          <t>Southwest</t>
        </is>
      </c>
      <c r="G46" s="5" t="n">
        <v>190</v>
      </c>
      <c r="H46" s="5" t="n">
        <v>190</v>
      </c>
      <c r="I46" s="5" t="n">
        <v>190</v>
      </c>
      <c r="J46" s="5">
        <f>IF(I46=0,(G46+H46)/2,I46)</f>
        <v/>
      </c>
    </row>
    <row r="47">
      <c r="A47" s="4" t="inlineStr">
        <is>
          <t>Kansas</t>
        </is>
      </c>
      <c r="B47" s="4" t="inlineStr">
        <is>
          <t>08/10/2026</t>
        </is>
      </c>
      <c r="C47" s="4" t="inlineStr">
        <is>
          <t>08/14/2026</t>
        </is>
      </c>
      <c r="D47" s="4" t="inlineStr">
        <is>
          <t>Alfalfa</t>
        </is>
      </c>
      <c r="E47" s="4" t="inlineStr">
        <is>
          <t>Fair/Good</t>
        </is>
      </c>
      <c r="F47" s="4" t="inlineStr">
        <is>
          <t>Southwest</t>
        </is>
      </c>
      <c r="G47" s="5" t="n">
        <v>250</v>
      </c>
      <c r="H47" s="5" t="n">
        <v>250</v>
      </c>
      <c r="I47" s="5" t="n">
        <v>250</v>
      </c>
      <c r="J47" s="5">
        <f>IF(I47=0,(G47+H47)/2,I47)</f>
        <v/>
      </c>
    </row>
    <row r="48">
      <c r="A48" s="4" t="inlineStr">
        <is>
          <t>Kansas</t>
        </is>
      </c>
      <c r="B48" s="4" t="inlineStr">
        <is>
          <t>08/10/2026</t>
        </is>
      </c>
      <c r="C48" s="4" t="inlineStr">
        <is>
          <t>08/14/2026</t>
        </is>
      </c>
      <c r="D48" s="4" t="inlineStr">
        <is>
          <t>Alfalfa</t>
        </is>
      </c>
      <c r="E48" s="4" t="inlineStr">
        <is>
          <t>Fair/Good</t>
        </is>
      </c>
      <c r="F48" s="4" t="inlineStr">
        <is>
          <t>Southwest</t>
        </is>
      </c>
      <c r="G48" s="5" t="n">
        <v>180</v>
      </c>
      <c r="H48" s="5" t="n">
        <v>180</v>
      </c>
      <c r="I48" s="5" t="n">
        <v>180</v>
      </c>
      <c r="J48" s="5">
        <f>IF(I48=0,(G48+H48)/2,I48)</f>
        <v/>
      </c>
    </row>
    <row r="49">
      <c r="A49" s="4" t="inlineStr">
        <is>
          <t>Kansas</t>
        </is>
      </c>
      <c r="B49" s="4" t="inlineStr">
        <is>
          <t>08/10/2026</t>
        </is>
      </c>
      <c r="C49" s="4" t="inlineStr">
        <is>
          <t>08/14/2026</t>
        </is>
      </c>
      <c r="D49" s="4" t="inlineStr">
        <is>
          <t>Alfalfa</t>
        </is>
      </c>
      <c r="E49" s="4" t="inlineStr">
        <is>
          <t>Fair/Good</t>
        </is>
      </c>
      <c r="F49" s="4" t="inlineStr">
        <is>
          <t>Southwest</t>
        </is>
      </c>
      <c r="G49" s="5" t="n">
        <v>250</v>
      </c>
      <c r="H49" s="5" t="n">
        <v>250</v>
      </c>
      <c r="I49" s="5" t="n">
        <v>250</v>
      </c>
      <c r="J49" s="5">
        <f>IF(I49=0,(G49+H49)/2,I49)</f>
        <v/>
      </c>
    </row>
    <row r="50">
      <c r="A50" s="4" t="inlineStr">
        <is>
          <t>Kansas</t>
        </is>
      </c>
      <c r="B50" s="4" t="inlineStr">
        <is>
          <t>08/10/2026</t>
        </is>
      </c>
      <c r="C50" s="4" t="inlineStr">
        <is>
          <t>08/14/2026</t>
        </is>
      </c>
      <c r="D50" s="4" t="inlineStr">
        <is>
          <t>Alfalfa</t>
        </is>
      </c>
      <c r="E50" s="4" t="inlineStr">
        <is>
          <t>Fair/Good</t>
        </is>
      </c>
      <c r="F50" s="4" t="inlineStr">
        <is>
          <t>Southwest</t>
        </is>
      </c>
      <c r="G50" s="5" t="n">
        <v>220</v>
      </c>
      <c r="H50" s="5" t="n">
        <v>220</v>
      </c>
      <c r="I50" s="5" t="n">
        <v>220</v>
      </c>
      <c r="J50" s="5">
        <f>IF(I50=0,(G50+H50)/2,I50)</f>
        <v/>
      </c>
    </row>
    <row r="51">
      <c r="A51" s="4" t="inlineStr">
        <is>
          <t>Kansas</t>
        </is>
      </c>
      <c r="B51" s="4" t="inlineStr">
        <is>
          <t>08/10/2026</t>
        </is>
      </c>
      <c r="C51" s="4" t="inlineStr">
        <is>
          <t>08/14/2026</t>
        </is>
      </c>
      <c r="D51" s="4" t="inlineStr">
        <is>
          <t>Alfalfa</t>
        </is>
      </c>
      <c r="E51" s="4" t="inlineStr">
        <is>
          <t>Fair/Good</t>
        </is>
      </c>
      <c r="F51" s="4" t="inlineStr">
        <is>
          <t>Southwest</t>
        </is>
      </c>
      <c r="G51" s="5" t="n">
        <v>200</v>
      </c>
      <c r="H51" s="5" t="n">
        <v>200</v>
      </c>
      <c r="I51" s="5" t="n">
        <v>200</v>
      </c>
      <c r="J51" s="5">
        <f>IF(I51=0,(G51+H51)/2,I51)</f>
        <v/>
      </c>
    </row>
    <row r="52">
      <c r="A52" s="4" t="inlineStr">
        <is>
          <t>Kansas</t>
        </is>
      </c>
      <c r="B52" s="4" t="inlineStr">
        <is>
          <t>08/10/2026</t>
        </is>
      </c>
      <c r="C52" s="4" t="inlineStr">
        <is>
          <t>08/14/2026</t>
        </is>
      </c>
      <c r="D52" s="4" t="inlineStr">
        <is>
          <t>Alfalfa</t>
        </is>
      </c>
      <c r="E52" s="4" t="inlineStr">
        <is>
          <t>Fair/Good</t>
        </is>
      </c>
      <c r="F52" s="4" t="inlineStr">
        <is>
          <t>Southwest</t>
        </is>
      </c>
      <c r="G52" s="5" t="n">
        <v>200</v>
      </c>
      <c r="H52" s="5" t="n">
        <v>225</v>
      </c>
      <c r="I52" s="5" t="n">
        <v>204.17</v>
      </c>
      <c r="J52" s="5">
        <f>IF(I52=0,(G52+H52)/2,I52)</f>
        <v/>
      </c>
    </row>
    <row r="53">
      <c r="A53" s="4" t="inlineStr">
        <is>
          <t>Kansas</t>
        </is>
      </c>
      <c r="B53" s="4" t="inlineStr">
        <is>
          <t>08/10/2026</t>
        </is>
      </c>
      <c r="C53" s="4" t="inlineStr">
        <is>
          <t>08/14/2026</t>
        </is>
      </c>
      <c r="D53" s="4" t="inlineStr">
        <is>
          <t>Alfalfa</t>
        </is>
      </c>
      <c r="E53" s="4" t="inlineStr">
        <is>
          <t>Good</t>
        </is>
      </c>
      <c r="F53" s="4" t="inlineStr">
        <is>
          <t>South Central</t>
        </is>
      </c>
      <c r="G53" s="5" t="n">
        <v>225</v>
      </c>
      <c r="H53" s="5" t="n">
        <v>225</v>
      </c>
      <c r="I53" s="5" t="n">
        <v>225</v>
      </c>
      <c r="J53" s="5">
        <f>IF(I53=0,(G53+H53)/2,I53)</f>
        <v/>
      </c>
    </row>
    <row r="54">
      <c r="A54" s="4" t="inlineStr">
        <is>
          <t>Kansas</t>
        </is>
      </c>
      <c r="B54" s="4" t="inlineStr">
        <is>
          <t>08/10/2026</t>
        </is>
      </c>
      <c r="C54" s="4" t="inlineStr">
        <is>
          <t>08/14/2026</t>
        </is>
      </c>
      <c r="D54" s="4" t="inlineStr">
        <is>
          <t>Alfalfa</t>
        </is>
      </c>
      <c r="E54" s="4" t="inlineStr">
        <is>
          <t>Good</t>
        </is>
      </c>
      <c r="F54" s="4" t="inlineStr">
        <is>
          <t>South Central</t>
        </is>
      </c>
      <c r="G54" s="5" t="n">
        <v>180</v>
      </c>
      <c r="H54" s="5" t="n">
        <v>200</v>
      </c>
      <c r="I54" s="5" t="n">
        <v>190</v>
      </c>
      <c r="J54" s="5">
        <f>IF(I54=0,(G54+H54)/2,I54)</f>
        <v/>
      </c>
    </row>
    <row r="55">
      <c r="A55" s="4" t="inlineStr">
        <is>
          <t>Kansas</t>
        </is>
      </c>
      <c r="B55" s="4" t="inlineStr">
        <is>
          <t>08/10/2026</t>
        </is>
      </c>
      <c r="C55" s="4" t="inlineStr">
        <is>
          <t>08/14/2026</t>
        </is>
      </c>
      <c r="D55" s="4" t="inlineStr">
        <is>
          <t>Alfalfa</t>
        </is>
      </c>
      <c r="E55" s="4" t="inlineStr">
        <is>
          <t>Good</t>
        </is>
      </c>
      <c r="F55" s="4" t="inlineStr">
        <is>
          <t>South Central</t>
        </is>
      </c>
      <c r="G55" s="5" t="n">
        <v>265</v>
      </c>
      <c r="H55" s="5" t="n">
        <v>270</v>
      </c>
      <c r="I55" s="5" t="n">
        <v>268.35</v>
      </c>
      <c r="J55" s="5">
        <f>IF(I55=0,(G55+H55)/2,I55)</f>
        <v/>
      </c>
    </row>
    <row r="56">
      <c r="A56" s="4" t="inlineStr">
        <is>
          <t>Kansas</t>
        </is>
      </c>
      <c r="B56" s="4" t="inlineStr">
        <is>
          <t>08/10/2026</t>
        </is>
      </c>
      <c r="C56" s="4" t="inlineStr">
        <is>
          <t>08/14/2026</t>
        </is>
      </c>
      <c r="D56" s="4" t="inlineStr">
        <is>
          <t>Alfalfa</t>
        </is>
      </c>
      <c r="E56" s="4" t="inlineStr">
        <is>
          <t>Good</t>
        </is>
      </c>
      <c r="F56" s="4" t="inlineStr">
        <is>
          <t>Southeast</t>
        </is>
      </c>
      <c r="G56" s="5" t="n">
        <v>190</v>
      </c>
      <c r="H56" s="5" t="n">
        <v>190</v>
      </c>
      <c r="I56" s="5" t="n">
        <v>190</v>
      </c>
      <c r="J56" s="5">
        <f>IF(I56=0,(G56+H56)/2,I56)</f>
        <v/>
      </c>
    </row>
    <row r="57">
      <c r="A57" s="4" t="inlineStr">
        <is>
          <t>Kansas</t>
        </is>
      </c>
      <c r="B57" s="4" t="inlineStr">
        <is>
          <t>08/10/2026</t>
        </is>
      </c>
      <c r="C57" s="4" t="inlineStr">
        <is>
          <t>08/14/2026</t>
        </is>
      </c>
      <c r="D57" s="4" t="inlineStr">
        <is>
          <t>Alfalfa</t>
        </is>
      </c>
      <c r="E57" s="4" t="inlineStr">
        <is>
          <t>Good</t>
        </is>
      </c>
      <c r="F57" s="4" t="inlineStr">
        <is>
          <t>Southwest</t>
        </is>
      </c>
      <c r="G57" s="5" t="n">
        <v>260</v>
      </c>
      <c r="H57" s="5" t="n">
        <v>260</v>
      </c>
      <c r="I57" s="5" t="n">
        <v>260</v>
      </c>
      <c r="J57" s="5">
        <f>IF(I57=0,(G57+H57)/2,I57)</f>
        <v/>
      </c>
    </row>
    <row r="58">
      <c r="A58" s="4" t="inlineStr">
        <is>
          <t>Kansas</t>
        </is>
      </c>
      <c r="B58" s="4" t="inlineStr">
        <is>
          <t>08/10/2026</t>
        </is>
      </c>
      <c r="C58" s="4" t="inlineStr">
        <is>
          <t>08/14/2026</t>
        </is>
      </c>
      <c r="D58" s="4" t="inlineStr">
        <is>
          <t>Alfalfa</t>
        </is>
      </c>
      <c r="E58" s="4" t="inlineStr">
        <is>
          <t>Good</t>
        </is>
      </c>
      <c r="F58" s="4" t="inlineStr">
        <is>
          <t>Southwest</t>
        </is>
      </c>
      <c r="G58" s="5" t="n">
        <v>285</v>
      </c>
      <c r="H58" s="5" t="n">
        <v>285</v>
      </c>
      <c r="I58" s="5" t="n">
        <v>285</v>
      </c>
      <c r="J58" s="5">
        <f>IF(I58=0,(G58+H58)/2,I58)</f>
        <v/>
      </c>
    </row>
    <row r="59">
      <c r="A59" s="4" t="inlineStr">
        <is>
          <t>Missouri</t>
        </is>
      </c>
      <c r="B59" s="4" t="inlineStr">
        <is>
          <t>08/17/2026</t>
        </is>
      </c>
      <c r="C59" s="4" t="inlineStr">
        <is>
          <t>08/21/2026</t>
        </is>
      </c>
      <c r="D59" s="4" t="inlineStr">
        <is>
          <t>Alfalfa</t>
        </is>
      </c>
      <c r="E59" s="4" t="inlineStr">
        <is>
          <t>Good</t>
        </is>
      </c>
      <c r="F59" s="4" t="n"/>
      <c r="G59" s="5" t="n">
        <v>150</v>
      </c>
      <c r="H59" s="5" t="n">
        <v>200</v>
      </c>
      <c r="I59" s="5" t="n">
        <v>0</v>
      </c>
      <c r="J59" s="5">
        <f>IF(I59=0,(G59+H59)/2,I59)</f>
        <v/>
      </c>
    </row>
    <row r="60">
      <c r="A60" s="4" t="inlineStr">
        <is>
          <t>Montana</t>
        </is>
      </c>
      <c r="B60" s="4" t="inlineStr">
        <is>
          <t>07/20/2026</t>
        </is>
      </c>
      <c r="C60" s="4" t="inlineStr">
        <is>
          <t>07/24/2026</t>
        </is>
      </c>
      <c r="D60" s="4" t="inlineStr">
        <is>
          <t>Alfalfa</t>
        </is>
      </c>
      <c r="E60" s="4" t="inlineStr">
        <is>
          <t>Good/Premium</t>
        </is>
      </c>
      <c r="F60" s="4" t="n"/>
      <c r="G60" s="5" t="n">
        <v>300</v>
      </c>
      <c r="H60" s="5" t="n">
        <v>300</v>
      </c>
      <c r="I60" s="5" t="n">
        <v>300</v>
      </c>
      <c r="J60" s="5">
        <f>IF(I60=0,(G60+H60)/2,I60)</f>
        <v/>
      </c>
    </row>
    <row r="61">
      <c r="A61" s="4" t="inlineStr">
        <is>
          <t>Nebraska</t>
        </is>
      </c>
      <c r="B61" s="4" t="inlineStr">
        <is>
          <t>08/24/2026</t>
        </is>
      </c>
      <c r="C61" s="4" t="inlineStr">
        <is>
          <t>08/28/2026</t>
        </is>
      </c>
      <c r="D61" s="4" t="inlineStr">
        <is>
          <t>Alfalfa</t>
        </is>
      </c>
      <c r="E61" s="4" t="inlineStr">
        <is>
          <t>Good</t>
        </is>
      </c>
      <c r="F61" s="4" t="inlineStr">
        <is>
          <t>Central</t>
        </is>
      </c>
      <c r="G61" s="5" t="n">
        <v>150</v>
      </c>
      <c r="H61" s="5" t="n">
        <v>215</v>
      </c>
      <c r="I61" s="5" t="n">
        <v>178.75</v>
      </c>
      <c r="J61" s="5">
        <f>IF(I61=0,(G61+H61)/2,I61)</f>
        <v/>
      </c>
    </row>
    <row r="62">
      <c r="A62" s="4" t="inlineStr">
        <is>
          <t>Nebraska</t>
        </is>
      </c>
      <c r="B62" s="4" t="inlineStr">
        <is>
          <t>08/24/2026</t>
        </is>
      </c>
      <c r="C62" s="4" t="inlineStr">
        <is>
          <t>08/28/2026</t>
        </is>
      </c>
      <c r="D62" s="4" t="inlineStr">
        <is>
          <t>Alfalfa</t>
        </is>
      </c>
      <c r="E62" s="4" t="inlineStr">
        <is>
          <t>Good</t>
        </is>
      </c>
      <c r="F62" s="4" t="inlineStr">
        <is>
          <t>East</t>
        </is>
      </c>
      <c r="G62" s="5" t="n">
        <v>170</v>
      </c>
      <c r="H62" s="5" t="n">
        <v>190</v>
      </c>
      <c r="I62" s="5" t="n">
        <v>180</v>
      </c>
      <c r="J62" s="5">
        <f>IF(I62=0,(G62+H62)/2,I62)</f>
        <v/>
      </c>
    </row>
    <row r="63">
      <c r="A63" s="4" t="inlineStr">
        <is>
          <t>Nebraska</t>
        </is>
      </c>
      <c r="B63" s="4" t="inlineStr">
        <is>
          <t>08/24/2026</t>
        </is>
      </c>
      <c r="C63" s="4" t="inlineStr">
        <is>
          <t>08/28/2026</t>
        </is>
      </c>
      <c r="D63" s="4" t="inlineStr">
        <is>
          <t>Alfalfa</t>
        </is>
      </c>
      <c r="E63" s="4" t="inlineStr">
        <is>
          <t>Good</t>
        </is>
      </c>
      <c r="F63" s="4" t="inlineStr">
        <is>
          <t>Platte Valley</t>
        </is>
      </c>
      <c r="G63" s="5" t="n">
        <v>200</v>
      </c>
      <c r="H63" s="5" t="n">
        <v>210</v>
      </c>
      <c r="I63" s="5" t="n">
        <v>201.25</v>
      </c>
      <c r="J63" s="5">
        <f>IF(I63=0,(G63+H63)/2,I63)</f>
        <v/>
      </c>
    </row>
    <row r="64">
      <c r="A64" s="4" t="inlineStr">
        <is>
          <t>Nebraska</t>
        </is>
      </c>
      <c r="B64" s="4" t="inlineStr">
        <is>
          <t>08/24/2026</t>
        </is>
      </c>
      <c r="C64" s="4" t="inlineStr">
        <is>
          <t>08/28/2026</t>
        </is>
      </c>
      <c r="D64" s="4" t="inlineStr">
        <is>
          <t>Alfalfa</t>
        </is>
      </c>
      <c r="E64" s="4" t="inlineStr">
        <is>
          <t>Good</t>
        </is>
      </c>
      <c r="F64" s="4" t="inlineStr">
        <is>
          <t>Platte Valley</t>
        </is>
      </c>
      <c r="G64" s="5" t="n">
        <v>220</v>
      </c>
      <c r="H64" s="5" t="n">
        <v>220</v>
      </c>
      <c r="I64" s="5" t="n">
        <v>220</v>
      </c>
      <c r="J64" s="5">
        <f>IF(I64=0,(G64+H64)/2,I64)</f>
        <v/>
      </c>
    </row>
    <row r="65">
      <c r="A65" s="4" t="inlineStr">
        <is>
          <t>Nebraska</t>
        </is>
      </c>
      <c r="B65" s="4" t="inlineStr">
        <is>
          <t>08/24/2026</t>
        </is>
      </c>
      <c r="C65" s="4" t="inlineStr">
        <is>
          <t>08/28/2026</t>
        </is>
      </c>
      <c r="D65" s="4" t="inlineStr">
        <is>
          <t>Alfalfa</t>
        </is>
      </c>
      <c r="E65" s="4" t="inlineStr">
        <is>
          <t>Good</t>
        </is>
      </c>
      <c r="F65" s="4" t="inlineStr">
        <is>
          <t>West</t>
        </is>
      </c>
      <c r="G65" s="5" t="n">
        <v>265</v>
      </c>
      <c r="H65" s="5" t="n">
        <v>285</v>
      </c>
      <c r="I65" s="5" t="n">
        <v>270.42</v>
      </c>
      <c r="J65" s="5">
        <f>IF(I65=0,(G65+H65)/2,I65)</f>
        <v/>
      </c>
    </row>
    <row r="66">
      <c r="A66" s="4" t="inlineStr">
        <is>
          <t>Nebraska</t>
        </is>
      </c>
      <c r="B66" s="4" t="inlineStr">
        <is>
          <t>08/24/2026</t>
        </is>
      </c>
      <c r="C66" s="4" t="inlineStr">
        <is>
          <t>08/28/2026</t>
        </is>
      </c>
      <c r="D66" s="4" t="inlineStr">
        <is>
          <t>Alfalfa</t>
        </is>
      </c>
      <c r="E66" s="4" t="inlineStr">
        <is>
          <t>Good/Premium</t>
        </is>
      </c>
      <c r="F66" s="4" t="inlineStr">
        <is>
          <t>East</t>
        </is>
      </c>
      <c r="G66" s="5" t="n">
        <v>185</v>
      </c>
      <c r="H66" s="5" t="n">
        <v>185</v>
      </c>
      <c r="I66" s="5" t="n">
        <v>185</v>
      </c>
      <c r="J66" s="5">
        <f>IF(I66=0,(G66+H66)/2,I66)</f>
        <v/>
      </c>
    </row>
    <row r="67">
      <c r="A67" s="4" t="inlineStr">
        <is>
          <t>Nebraska</t>
        </is>
      </c>
      <c r="B67" s="4" t="inlineStr">
        <is>
          <t>08/24/2026</t>
        </is>
      </c>
      <c r="C67" s="4" t="inlineStr">
        <is>
          <t>08/28/2026</t>
        </is>
      </c>
      <c r="D67" s="4" t="inlineStr">
        <is>
          <t>Alfalfa</t>
        </is>
      </c>
      <c r="E67" s="4" t="inlineStr">
        <is>
          <t>Good/Premium</t>
        </is>
      </c>
      <c r="F67" s="4" t="inlineStr">
        <is>
          <t>East</t>
        </is>
      </c>
      <c r="G67" s="5" t="n">
        <v>250</v>
      </c>
      <c r="H67" s="5" t="n">
        <v>250</v>
      </c>
      <c r="I67" s="5" t="n">
        <v>250</v>
      </c>
      <c r="J67" s="5">
        <f>IF(I67=0,(G67+H67)/2,I67)</f>
        <v/>
      </c>
    </row>
    <row r="68">
      <c r="A68" s="4" t="inlineStr">
        <is>
          <t>Nebraska</t>
        </is>
      </c>
      <c r="B68" s="4" t="inlineStr">
        <is>
          <t>08/24/2026</t>
        </is>
      </c>
      <c r="C68" s="4" t="inlineStr">
        <is>
          <t>08/28/2026</t>
        </is>
      </c>
      <c r="D68" s="4" t="inlineStr">
        <is>
          <t>Alfalfa</t>
        </is>
      </c>
      <c r="E68" s="4" t="inlineStr">
        <is>
          <t>Good/Premium</t>
        </is>
      </c>
      <c r="F68" s="4" t="inlineStr">
        <is>
          <t>West</t>
        </is>
      </c>
      <c r="G68" s="5" t="n">
        <v>300</v>
      </c>
      <c r="H68" s="5" t="n">
        <v>330</v>
      </c>
      <c r="I68" s="5" t="n">
        <v>326.67</v>
      </c>
      <c r="J68" s="5">
        <f>IF(I68=0,(G68+H68)/2,I68)</f>
        <v/>
      </c>
    </row>
    <row r="69">
      <c r="A69" s="4" t="inlineStr">
        <is>
          <t>Nevada</t>
        </is>
      </c>
      <c r="B69" s="4" t="inlineStr">
        <is>
          <t>08/17/2026</t>
        </is>
      </c>
      <c r="C69" s="4" t="inlineStr">
        <is>
          <t>08/21/2026</t>
        </is>
      </c>
      <c r="D69" s="4" t="inlineStr">
        <is>
          <t>Alfalfa</t>
        </is>
      </c>
      <c r="E69" s="4" t="inlineStr">
        <is>
          <t>Good</t>
        </is>
      </c>
      <c r="F69" s="4" t="inlineStr">
        <is>
          <t>Central</t>
        </is>
      </c>
      <c r="G69" s="5" t="n">
        <v>215</v>
      </c>
      <c r="H69" s="5" t="n">
        <v>215</v>
      </c>
      <c r="I69" s="5" t="n">
        <v>215</v>
      </c>
      <c r="J69" s="5">
        <f>IF(I69=0,(G69+H69)/2,I69)</f>
        <v/>
      </c>
    </row>
    <row r="70">
      <c r="A70" s="4" t="inlineStr">
        <is>
          <t>Nevada</t>
        </is>
      </c>
      <c r="B70" s="4" t="inlineStr">
        <is>
          <t>08/17/2026</t>
        </is>
      </c>
      <c r="C70" s="4" t="inlineStr">
        <is>
          <t>08/21/2026</t>
        </is>
      </c>
      <c r="D70" s="4" t="inlineStr">
        <is>
          <t>Alfalfa</t>
        </is>
      </c>
      <c r="E70" s="4" t="inlineStr">
        <is>
          <t>Good</t>
        </is>
      </c>
      <c r="F70" s="4" t="inlineStr">
        <is>
          <t>Central</t>
        </is>
      </c>
      <c r="G70" s="5" t="n">
        <v>220</v>
      </c>
      <c r="H70" s="5" t="n">
        <v>220</v>
      </c>
      <c r="I70" s="5" t="n">
        <v>220</v>
      </c>
      <c r="J70" s="5">
        <f>IF(I70=0,(G70+H70)/2,I70)</f>
        <v/>
      </c>
    </row>
    <row r="71">
      <c r="A71" s="4" t="inlineStr">
        <is>
          <t>Nevada</t>
        </is>
      </c>
      <c r="B71" s="4" t="inlineStr">
        <is>
          <t>08/17/2026</t>
        </is>
      </c>
      <c r="C71" s="4" t="inlineStr">
        <is>
          <t>08/21/2026</t>
        </is>
      </c>
      <c r="D71" s="4" t="inlineStr">
        <is>
          <t>Alfalfa</t>
        </is>
      </c>
      <c r="E71" s="4" t="inlineStr">
        <is>
          <t>Good</t>
        </is>
      </c>
      <c r="F71" s="4" t="inlineStr">
        <is>
          <t>East</t>
        </is>
      </c>
      <c r="G71" s="5" t="n">
        <v>230</v>
      </c>
      <c r="H71" s="5" t="n">
        <v>230</v>
      </c>
      <c r="I71" s="5" t="n">
        <v>230</v>
      </c>
      <c r="J71" s="5">
        <f>IF(I71=0,(G71+H71)/2,I71)</f>
        <v/>
      </c>
    </row>
    <row r="72">
      <c r="A72" s="4" t="inlineStr">
        <is>
          <t>Nevada</t>
        </is>
      </c>
      <c r="B72" s="4" t="inlineStr">
        <is>
          <t>08/17/2026</t>
        </is>
      </c>
      <c r="C72" s="4" t="inlineStr">
        <is>
          <t>08/21/2026</t>
        </is>
      </c>
      <c r="D72" s="4" t="inlineStr">
        <is>
          <t>Alfalfa</t>
        </is>
      </c>
      <c r="E72" s="4" t="inlineStr">
        <is>
          <t>Good</t>
        </is>
      </c>
      <c r="F72" s="4" t="inlineStr">
        <is>
          <t>North</t>
        </is>
      </c>
      <c r="G72" s="5" t="n">
        <v>190</v>
      </c>
      <c r="H72" s="5" t="n">
        <v>200</v>
      </c>
      <c r="I72" s="5" t="n">
        <v>195.45</v>
      </c>
      <c r="J72" s="5">
        <f>IF(I72=0,(G72+H72)/2,I72)</f>
        <v/>
      </c>
    </row>
    <row r="73">
      <c r="A73" s="4" t="inlineStr">
        <is>
          <t>Nevada</t>
        </is>
      </c>
      <c r="B73" s="4" t="inlineStr">
        <is>
          <t>08/17/2026</t>
        </is>
      </c>
      <c r="C73" s="4" t="inlineStr">
        <is>
          <t>08/21/2026</t>
        </is>
      </c>
      <c r="D73" s="4" t="inlineStr">
        <is>
          <t>Alfalfa</t>
        </is>
      </c>
      <c r="E73" s="4" t="inlineStr">
        <is>
          <t>Good</t>
        </is>
      </c>
      <c r="F73" s="4" t="inlineStr">
        <is>
          <t>North</t>
        </is>
      </c>
      <c r="G73" s="5" t="n">
        <v>170</v>
      </c>
      <c r="H73" s="5" t="n">
        <v>170</v>
      </c>
      <c r="I73" s="5" t="n">
        <v>170</v>
      </c>
      <c r="J73" s="5">
        <f>IF(I73=0,(G73+H73)/2,I73)</f>
        <v/>
      </c>
    </row>
    <row r="74">
      <c r="A74" s="4" t="inlineStr">
        <is>
          <t>Nevada</t>
        </is>
      </c>
      <c r="B74" s="4" t="inlineStr">
        <is>
          <t>08/17/2026</t>
        </is>
      </c>
      <c r="C74" s="4" t="inlineStr">
        <is>
          <t>08/21/2026</t>
        </is>
      </c>
      <c r="D74" s="4" t="inlineStr">
        <is>
          <t>Alfalfa</t>
        </is>
      </c>
      <c r="E74" s="4" t="inlineStr">
        <is>
          <t>Good/Premium</t>
        </is>
      </c>
      <c r="F74" s="4" t="inlineStr">
        <is>
          <t>North</t>
        </is>
      </c>
      <c r="G74" s="5" t="n">
        <v>165</v>
      </c>
      <c r="H74" s="5" t="n">
        <v>165</v>
      </c>
      <c r="I74" s="5" t="n">
        <v>165</v>
      </c>
      <c r="J74" s="5">
        <f>IF(I74=0,(G74+H74)/2,I74)</f>
        <v/>
      </c>
    </row>
    <row r="75">
      <c r="A75" s="4" t="inlineStr">
        <is>
          <t>New Mexico</t>
        </is>
      </c>
      <c r="B75" s="4" t="inlineStr">
        <is>
          <t>08/24/2026</t>
        </is>
      </c>
      <c r="C75" s="4" t="inlineStr">
        <is>
          <t>08/28/2026</t>
        </is>
      </c>
      <c r="D75" s="4" t="inlineStr">
        <is>
          <t>Alfalfa</t>
        </is>
      </c>
      <c r="E75" s="4" t="inlineStr">
        <is>
          <t>Good</t>
        </is>
      </c>
      <c r="F75" s="4" t="inlineStr">
        <is>
          <t>Northwest</t>
        </is>
      </c>
      <c r="G75" s="5" t="n">
        <v>235</v>
      </c>
      <c r="H75" s="5" t="n">
        <v>235</v>
      </c>
      <c r="I75" s="5" t="n">
        <v>0</v>
      </c>
      <c r="J75" s="5">
        <f>IF(I75=0,(G75+H75)/2,I75)</f>
        <v/>
      </c>
    </row>
    <row r="76">
      <c r="A76" s="4" t="inlineStr">
        <is>
          <t>New Mexico</t>
        </is>
      </c>
      <c r="B76" s="4" t="inlineStr">
        <is>
          <t>08/24/2026</t>
        </is>
      </c>
      <c r="C76" s="4" t="inlineStr">
        <is>
          <t>08/28/2026</t>
        </is>
      </c>
      <c r="D76" s="4" t="inlineStr">
        <is>
          <t>Alfalfa</t>
        </is>
      </c>
      <c r="E76" s="4" t="inlineStr">
        <is>
          <t>Good</t>
        </is>
      </c>
      <c r="F76" s="4" t="inlineStr">
        <is>
          <t>Northwest</t>
        </is>
      </c>
      <c r="G76" s="5" t="n">
        <v>240</v>
      </c>
      <c r="H76" s="5" t="n">
        <v>240</v>
      </c>
      <c r="I76" s="5" t="n">
        <v>0</v>
      </c>
      <c r="J76" s="5">
        <f>IF(I76=0,(G76+H76)/2,I76)</f>
        <v/>
      </c>
    </row>
    <row r="77">
      <c r="A77" s="4" t="inlineStr">
        <is>
          <t>New Mexico</t>
        </is>
      </c>
      <c r="B77" s="4" t="inlineStr">
        <is>
          <t>08/24/2026</t>
        </is>
      </c>
      <c r="C77" s="4" t="inlineStr">
        <is>
          <t>08/28/2026</t>
        </is>
      </c>
      <c r="D77" s="4" t="inlineStr">
        <is>
          <t>Alfalfa</t>
        </is>
      </c>
      <c r="E77" s="4" t="inlineStr">
        <is>
          <t>Good</t>
        </is>
      </c>
      <c r="F77" s="4" t="inlineStr">
        <is>
          <t>South</t>
        </is>
      </c>
      <c r="G77" s="5" t="n">
        <v>75</v>
      </c>
      <c r="H77" s="5" t="n">
        <v>75</v>
      </c>
      <c r="I77" s="5" t="n">
        <v>0</v>
      </c>
      <c r="J77" s="5">
        <f>IF(I77=0,(G77+H77)/2,I77)</f>
        <v/>
      </c>
    </row>
    <row r="78">
      <c r="A78" s="4" t="inlineStr">
        <is>
          <t>Oklahoma</t>
        </is>
      </c>
      <c r="B78" s="4" t="inlineStr">
        <is>
          <t>08/17/2026</t>
        </is>
      </c>
      <c r="C78" s="4" t="inlineStr">
        <is>
          <t>08/21/2026</t>
        </is>
      </c>
      <c r="D78" s="4" t="inlineStr">
        <is>
          <t>Alfalfa</t>
        </is>
      </c>
      <c r="E78" s="4" t="inlineStr">
        <is>
          <t>Fair/Good</t>
        </is>
      </c>
      <c r="F78" s="4" t="inlineStr">
        <is>
          <t>Central</t>
        </is>
      </c>
      <c r="G78" s="5" t="n">
        <v>180</v>
      </c>
      <c r="H78" s="5" t="n">
        <v>180</v>
      </c>
      <c r="I78" s="5" t="n">
        <v>0</v>
      </c>
      <c r="J78" s="5">
        <f>IF(I78=0,(G78+H78)/2,I78)</f>
        <v/>
      </c>
    </row>
    <row r="79">
      <c r="A79" s="4" t="inlineStr">
        <is>
          <t>Oklahoma</t>
        </is>
      </c>
      <c r="B79" s="4" t="inlineStr">
        <is>
          <t>08/17/2026</t>
        </is>
      </c>
      <c r="C79" s="4" t="inlineStr">
        <is>
          <t>08/21/2026</t>
        </is>
      </c>
      <c r="D79" s="4" t="inlineStr">
        <is>
          <t>Alfalfa</t>
        </is>
      </c>
      <c r="E79" s="4" t="inlineStr">
        <is>
          <t>Good</t>
        </is>
      </c>
      <c r="F79" s="4" t="inlineStr">
        <is>
          <t>Central</t>
        </is>
      </c>
      <c r="G79" s="5" t="n">
        <v>200</v>
      </c>
      <c r="H79" s="5" t="n">
        <v>200</v>
      </c>
      <c r="I79" s="5" t="n">
        <v>200</v>
      </c>
      <c r="J79" s="5">
        <f>IF(I79=0,(G79+H79)/2,I79)</f>
        <v/>
      </c>
    </row>
    <row r="80">
      <c r="A80" s="4" t="inlineStr">
        <is>
          <t>Oklahoma</t>
        </is>
      </c>
      <c r="B80" s="4" t="inlineStr">
        <is>
          <t>08/17/2026</t>
        </is>
      </c>
      <c r="C80" s="4" t="inlineStr">
        <is>
          <t>08/21/2026</t>
        </is>
      </c>
      <c r="D80" s="4" t="inlineStr">
        <is>
          <t>Alfalfa</t>
        </is>
      </c>
      <c r="E80" s="4" t="inlineStr">
        <is>
          <t>Good/Premium</t>
        </is>
      </c>
      <c r="F80" s="4" t="inlineStr">
        <is>
          <t>Northwest</t>
        </is>
      </c>
      <c r="G80" s="5" t="n">
        <v>90</v>
      </c>
      <c r="H80" s="5" t="n">
        <v>90</v>
      </c>
      <c r="I80" s="5" t="n">
        <v>0</v>
      </c>
      <c r="J80" s="5">
        <f>IF(I80=0,(G80+H80)/2,I80)</f>
        <v/>
      </c>
    </row>
    <row r="81">
      <c r="A81" s="4" t="inlineStr">
        <is>
          <t>Oklahoma</t>
        </is>
      </c>
      <c r="B81" s="4" t="inlineStr">
        <is>
          <t>08/17/2026</t>
        </is>
      </c>
      <c r="C81" s="4" t="inlineStr">
        <is>
          <t>08/21/2026</t>
        </is>
      </c>
      <c r="D81" s="4" t="inlineStr">
        <is>
          <t>Alfalfa</t>
        </is>
      </c>
      <c r="E81" s="4" t="inlineStr">
        <is>
          <t>Good/Premium</t>
        </is>
      </c>
      <c r="F81" s="4" t="inlineStr">
        <is>
          <t>Northwest</t>
        </is>
      </c>
      <c r="G81" s="5" t="n">
        <v>170</v>
      </c>
      <c r="H81" s="5" t="n">
        <v>170</v>
      </c>
      <c r="I81" s="5" t="n">
        <v>170</v>
      </c>
      <c r="J81" s="5">
        <f>IF(I81=0,(G81+H81)/2,I81)</f>
        <v/>
      </c>
    </row>
    <row r="82">
      <c r="A82" s="4" t="inlineStr">
        <is>
          <t>Oregon</t>
        </is>
      </c>
      <c r="B82" s="4" t="inlineStr">
        <is>
          <t>08/24/2026</t>
        </is>
      </c>
      <c r="C82" s="4" t="inlineStr">
        <is>
          <t>08/28/2026</t>
        </is>
      </c>
      <c r="D82" s="4" t="inlineStr">
        <is>
          <t>Alfalfa</t>
        </is>
      </c>
      <c r="E82" s="4" t="inlineStr">
        <is>
          <t>Good</t>
        </is>
      </c>
      <c r="F82" s="4" t="inlineStr">
        <is>
          <t>Lake County</t>
        </is>
      </c>
      <c r="G82" s="5" t="n">
        <v>220</v>
      </c>
      <c r="H82" s="5" t="n">
        <v>220</v>
      </c>
      <c r="I82" s="5" t="n">
        <v>220</v>
      </c>
      <c r="J82" s="5">
        <f>IF(I82=0,(G82+H82)/2,I82)</f>
        <v/>
      </c>
    </row>
    <row r="83">
      <c r="A83" s="4" t="inlineStr">
        <is>
          <t>South Dakota</t>
        </is>
      </c>
      <c r="B83" s="4" t="inlineStr">
        <is>
          <t>07/27/2026</t>
        </is>
      </c>
      <c r="C83" s="4" t="inlineStr">
        <is>
          <t>07/31/2026</t>
        </is>
      </c>
      <c r="D83" s="4" t="inlineStr">
        <is>
          <t>Alfalfa</t>
        </is>
      </c>
      <c r="E83" s="4" t="inlineStr">
        <is>
          <t>Good/Premium</t>
        </is>
      </c>
      <c r="F83" s="4" t="n"/>
      <c r="G83" s="5" t="n">
        <v>200</v>
      </c>
      <c r="H83" s="5" t="n">
        <v>200</v>
      </c>
      <c r="I83" s="5" t="n">
        <v>200</v>
      </c>
      <c r="J83" s="5">
        <f>IF(I83=0,(G83+H83)/2,I83)</f>
        <v/>
      </c>
    </row>
    <row r="84">
      <c r="A84" s="4" t="inlineStr">
        <is>
          <t>Utah</t>
        </is>
      </c>
      <c r="B84" s="4" t="inlineStr">
        <is>
          <t>08/24/2026</t>
        </is>
      </c>
      <c r="C84" s="4" t="inlineStr">
        <is>
          <t>08/28/2026</t>
        </is>
      </c>
      <c r="D84" s="4" t="inlineStr">
        <is>
          <t>Alfalfa</t>
        </is>
      </c>
      <c r="E84" s="4" t="inlineStr">
        <is>
          <t>Good</t>
        </is>
      </c>
      <c r="F84" s="4" t="inlineStr">
        <is>
          <t>North</t>
        </is>
      </c>
      <c r="G84" s="5" t="n">
        <v>245</v>
      </c>
      <c r="H84" s="5" t="n">
        <v>245</v>
      </c>
      <c r="I84" s="5" t="n">
        <v>245</v>
      </c>
      <c r="J84" s="5">
        <f>IF(I84=0,(G84+H84)/2,I84)</f>
        <v/>
      </c>
    </row>
    <row r="85">
      <c r="A85" s="4" t="inlineStr">
        <is>
          <t>Utah</t>
        </is>
      </c>
      <c r="B85" s="4" t="inlineStr">
        <is>
          <t>08/24/2026</t>
        </is>
      </c>
      <c r="C85" s="4" t="inlineStr">
        <is>
          <t>08/28/2026</t>
        </is>
      </c>
      <c r="D85" s="4" t="inlineStr">
        <is>
          <t>Alfalfa</t>
        </is>
      </c>
      <c r="E85" s="4" t="inlineStr">
        <is>
          <t>Good/Premium</t>
        </is>
      </c>
      <c r="F85" s="4" t="inlineStr">
        <is>
          <t>South</t>
        </is>
      </c>
      <c r="G85" s="5" t="n">
        <v>245</v>
      </c>
      <c r="H85" s="5" t="n">
        <v>250</v>
      </c>
      <c r="I85" s="5" t="n">
        <v>246.24</v>
      </c>
      <c r="J85" s="5">
        <f>IF(I85=0,(G85+H85)/2,I85)</f>
        <v/>
      </c>
    </row>
    <row r="86">
      <c r="A86" s="4" t="inlineStr">
        <is>
          <t>Washington</t>
        </is>
      </c>
      <c r="B86" s="4" t="inlineStr">
        <is>
          <t>08/17/2026</t>
        </is>
      </c>
      <c r="C86" s="4" t="inlineStr">
        <is>
          <t>08/21/2026</t>
        </is>
      </c>
      <c r="D86" s="4" t="inlineStr">
        <is>
          <t>Alfalfa</t>
        </is>
      </c>
      <c r="E86" s="4" t="inlineStr">
        <is>
          <t>Fair/Good</t>
        </is>
      </c>
      <c r="F86" s="4" t="n"/>
      <c r="G86" s="5" t="n">
        <v>222</v>
      </c>
      <c r="H86" s="5" t="n">
        <v>222</v>
      </c>
      <c r="I86" s="5" t="n">
        <v>222</v>
      </c>
      <c r="J86" s="5">
        <f>IF(I86=0,(G86+H86)/2,I86)</f>
        <v/>
      </c>
    </row>
    <row r="87">
      <c r="A87" s="4" t="inlineStr">
        <is>
          <t>Washington</t>
        </is>
      </c>
      <c r="B87" s="4" t="inlineStr">
        <is>
          <t>08/17/2026</t>
        </is>
      </c>
      <c r="C87" s="4" t="inlineStr">
        <is>
          <t>08/21/2026</t>
        </is>
      </c>
      <c r="D87" s="4" t="inlineStr">
        <is>
          <t>Alfalfa</t>
        </is>
      </c>
      <c r="E87" s="4" t="inlineStr">
        <is>
          <t>Fair/Good</t>
        </is>
      </c>
      <c r="F87" s="4" t="n"/>
      <c r="G87" s="5" t="n">
        <v>230</v>
      </c>
      <c r="H87" s="5" t="n">
        <v>230</v>
      </c>
      <c r="I87" s="5" t="n">
        <v>230</v>
      </c>
      <c r="J87" s="5">
        <f>IF(I87=0,(G87+H87)/2,I87)</f>
        <v/>
      </c>
    </row>
    <row r="88">
      <c r="A88" s="4" t="inlineStr">
        <is>
          <t>Washington</t>
        </is>
      </c>
      <c r="B88" s="4" t="inlineStr">
        <is>
          <t>08/17/2026</t>
        </is>
      </c>
      <c r="C88" s="4" t="inlineStr">
        <is>
          <t>08/21/2026</t>
        </is>
      </c>
      <c r="D88" s="4" t="inlineStr">
        <is>
          <t>Alfalfa</t>
        </is>
      </c>
      <c r="E88" s="4" t="inlineStr">
        <is>
          <t>Fair/Good</t>
        </is>
      </c>
      <c r="F88" s="4" t="n"/>
      <c r="G88" s="5" t="n">
        <v>235</v>
      </c>
      <c r="H88" s="5" t="n">
        <v>235</v>
      </c>
      <c r="I88" s="5" t="n">
        <v>235</v>
      </c>
      <c r="J88" s="5">
        <f>IF(I88=0,(G88+H88)/2,I88)</f>
        <v/>
      </c>
    </row>
    <row r="89">
      <c r="A89" s="4" t="inlineStr">
        <is>
          <t>Washington</t>
        </is>
      </c>
      <c r="B89" s="4" t="inlineStr">
        <is>
          <t>08/17/2026</t>
        </is>
      </c>
      <c r="C89" s="4" t="inlineStr">
        <is>
          <t>08/21/2026</t>
        </is>
      </c>
      <c r="D89" s="4" t="inlineStr">
        <is>
          <t>Alfalfa</t>
        </is>
      </c>
      <c r="E89" s="4" t="inlineStr">
        <is>
          <t>Fair/Good</t>
        </is>
      </c>
      <c r="F89" s="4" t="n"/>
      <c r="G89" s="5" t="n">
        <v>225</v>
      </c>
      <c r="H89" s="5" t="n">
        <v>225</v>
      </c>
      <c r="I89" s="5" t="n">
        <v>225</v>
      </c>
      <c r="J89" s="5">
        <f>IF(I89=0,(G89+H89)/2,I89)</f>
        <v/>
      </c>
    </row>
    <row r="90">
      <c r="A90" s="4" t="inlineStr">
        <is>
          <t>Washington</t>
        </is>
      </c>
      <c r="B90" s="4" t="inlineStr">
        <is>
          <t>08/17/2026</t>
        </is>
      </c>
      <c r="C90" s="4" t="inlineStr">
        <is>
          <t>08/21/2026</t>
        </is>
      </c>
      <c r="D90" s="4" t="inlineStr">
        <is>
          <t>Alfalfa</t>
        </is>
      </c>
      <c r="E90" s="4" t="inlineStr">
        <is>
          <t>Good/Premium</t>
        </is>
      </c>
      <c r="F90" s="4" t="n"/>
      <c r="G90" s="5" t="n">
        <v>300</v>
      </c>
      <c r="H90" s="5" t="n">
        <v>320</v>
      </c>
      <c r="I90" s="5" t="n">
        <v>310</v>
      </c>
      <c r="J90" s="5">
        <f>IF(I90=0,(G90+H90)/2,I90)</f>
        <v/>
      </c>
    </row>
    <row r="91">
      <c r="A91" s="4" t="inlineStr">
        <is>
          <t>Wyoming</t>
        </is>
      </c>
      <c r="B91" s="4" t="inlineStr">
        <is>
          <t>08/17/2026</t>
        </is>
      </c>
      <c r="C91" s="4" t="inlineStr">
        <is>
          <t>08/21/2026</t>
        </is>
      </c>
      <c r="D91" s="4" t="inlineStr">
        <is>
          <t>Alfalfa</t>
        </is>
      </c>
      <c r="E91" s="4" t="inlineStr">
        <is>
          <t>Fair/Good</t>
        </is>
      </c>
      <c r="F91" s="4" t="inlineStr">
        <is>
          <t>West</t>
        </is>
      </c>
      <c r="G91" s="5" t="n">
        <v>225</v>
      </c>
      <c r="H91" s="5" t="n">
        <v>225</v>
      </c>
      <c r="I91" s="5" t="n">
        <v>225</v>
      </c>
      <c r="J91" s="5">
        <f>IF(I91=0,(G91+H91)/2,I91)</f>
        <v/>
      </c>
    </row>
    <row r="92">
      <c r="A92" s="4" t="inlineStr">
        <is>
          <t>Wyoming</t>
        </is>
      </c>
      <c r="B92" s="4" t="inlineStr">
        <is>
          <t>08/17/2026</t>
        </is>
      </c>
      <c r="C92" s="4" t="inlineStr">
        <is>
          <t>08/21/2026</t>
        </is>
      </c>
      <c r="D92" s="4" t="inlineStr">
        <is>
          <t>Alfalfa</t>
        </is>
      </c>
      <c r="E92" s="4" t="inlineStr">
        <is>
          <t>Fair/Good</t>
        </is>
      </c>
      <c r="F92" s="4" t="inlineStr">
        <is>
          <t>West</t>
        </is>
      </c>
      <c r="G92" s="5" t="n">
        <v>250</v>
      </c>
      <c r="H92" s="5" t="n">
        <v>250</v>
      </c>
      <c r="I92" s="5" t="n">
        <v>250</v>
      </c>
      <c r="J92" s="5">
        <f>IF(I92=0,(G92+H92)/2,I92)</f>
        <v/>
      </c>
    </row>
    <row r="93">
      <c r="A93" s="4" t="inlineStr">
        <is>
          <t>Wyoming</t>
        </is>
      </c>
      <c r="B93" s="4" t="inlineStr">
        <is>
          <t>08/17/2026</t>
        </is>
      </c>
      <c r="C93" s="4" t="inlineStr">
        <is>
          <t>08/21/2026</t>
        </is>
      </c>
      <c r="D93" s="4" t="inlineStr">
        <is>
          <t>Alfalfa</t>
        </is>
      </c>
      <c r="E93" s="4" t="inlineStr">
        <is>
          <t>Good</t>
        </is>
      </c>
      <c r="F93" s="4" t="inlineStr">
        <is>
          <t>East</t>
        </is>
      </c>
      <c r="G93" s="5" t="n">
        <v>270</v>
      </c>
      <c r="H93" s="5" t="n">
        <v>270</v>
      </c>
      <c r="I93" s="5" t="n">
        <v>270</v>
      </c>
      <c r="J93" s="5">
        <f>IF(I93=0,(G93+H93)/2,I93)</f>
        <v/>
      </c>
    </row>
    <row r="94">
      <c r="A94" s="4" t="inlineStr">
        <is>
          <t>Wyoming</t>
        </is>
      </c>
      <c r="B94" s="4" t="inlineStr">
        <is>
          <t>08/17/2026</t>
        </is>
      </c>
      <c r="C94" s="4" t="inlineStr">
        <is>
          <t>08/21/2026</t>
        </is>
      </c>
      <c r="D94" s="4" t="inlineStr">
        <is>
          <t>Alfalfa</t>
        </is>
      </c>
      <c r="E94" s="4" t="inlineStr">
        <is>
          <t>Good</t>
        </is>
      </c>
      <c r="F94" s="4" t="inlineStr">
        <is>
          <t>East</t>
        </is>
      </c>
      <c r="G94" s="5" t="n">
        <v>260</v>
      </c>
      <c r="H94" s="5" t="n">
        <v>270</v>
      </c>
      <c r="I94" s="5" t="n">
        <v>266.67</v>
      </c>
      <c r="J94" s="5">
        <f>IF(I94=0,(G94+H94)/2,I94)</f>
        <v/>
      </c>
    </row>
    <row r="95">
      <c r="A95" s="4" t="inlineStr">
        <is>
          <t>Wyoming</t>
        </is>
      </c>
      <c r="B95" s="4" t="inlineStr">
        <is>
          <t>08/17/2026</t>
        </is>
      </c>
      <c r="C95" s="4" t="inlineStr">
        <is>
          <t>08/21/2026</t>
        </is>
      </c>
      <c r="D95" s="4" t="inlineStr">
        <is>
          <t>Alfalfa</t>
        </is>
      </c>
      <c r="E95" s="4" t="inlineStr">
        <is>
          <t>Good</t>
        </is>
      </c>
      <c r="F95" s="4" t="inlineStr">
        <is>
          <t>East</t>
        </is>
      </c>
      <c r="G95" s="5" t="n">
        <v>290</v>
      </c>
      <c r="H95" s="5" t="n">
        <v>290</v>
      </c>
      <c r="I95" s="5" t="n">
        <v>290</v>
      </c>
      <c r="J95" s="5">
        <f>IF(I95=0,(G95+H95)/2,I95)</f>
        <v/>
      </c>
    </row>
    <row r="96">
      <c r="A96" s="4" t="inlineStr">
        <is>
          <t>Wyoming</t>
        </is>
      </c>
      <c r="B96" s="4" t="inlineStr">
        <is>
          <t>08/17/2026</t>
        </is>
      </c>
      <c r="C96" s="4" t="inlineStr">
        <is>
          <t>08/21/2026</t>
        </is>
      </c>
      <c r="D96" s="4" t="inlineStr">
        <is>
          <t>Alfalfa</t>
        </is>
      </c>
      <c r="E96" s="4" t="inlineStr">
        <is>
          <t>Good</t>
        </is>
      </c>
      <c r="F96" s="4" t="inlineStr">
        <is>
          <t>West</t>
        </is>
      </c>
      <c r="G96" s="5" t="n">
        <v>260</v>
      </c>
      <c r="H96" s="5" t="n">
        <v>260</v>
      </c>
      <c r="I96" s="5" t="n">
        <v>260</v>
      </c>
      <c r="J96" s="5">
        <f>IF(I96=0,(G96+H96)/2,I96)</f>
        <v/>
      </c>
    </row>
    <row r="97">
      <c r="A97" s="4" t="inlineStr">
        <is>
          <t>Wyoming</t>
        </is>
      </c>
      <c r="B97" s="4" t="inlineStr">
        <is>
          <t>08/17/2026</t>
        </is>
      </c>
      <c r="C97" s="4" t="inlineStr">
        <is>
          <t>08/21/2026</t>
        </is>
      </c>
      <c r="D97" s="4" t="inlineStr">
        <is>
          <t>Alfalfa</t>
        </is>
      </c>
      <c r="E97" s="4" t="inlineStr">
        <is>
          <t>Good/Premium</t>
        </is>
      </c>
      <c r="F97" s="4" t="inlineStr">
        <is>
          <t>East</t>
        </is>
      </c>
      <c r="G97" s="5" t="n">
        <v>280</v>
      </c>
      <c r="H97" s="5" t="n">
        <v>280</v>
      </c>
      <c r="I97" s="5" t="n">
        <v>280</v>
      </c>
      <c r="J97" s="5">
        <f>IF(I97=0,(G97+H97)/2,I97)</f>
        <v/>
      </c>
    </row>
    <row r="98">
      <c r="A98" s="4" t="inlineStr">
        <is>
          <t>Wyoming</t>
        </is>
      </c>
      <c r="B98" s="4" t="inlineStr">
        <is>
          <t>08/17/2026</t>
        </is>
      </c>
      <c r="C98" s="4" t="inlineStr">
        <is>
          <t>08/21/2026</t>
        </is>
      </c>
      <c r="D98" s="4" t="inlineStr">
        <is>
          <t>Alfalfa</t>
        </is>
      </c>
      <c r="E98" s="4" t="inlineStr">
        <is>
          <t>Good/Premium</t>
        </is>
      </c>
      <c r="F98" s="4" t="inlineStr">
        <is>
          <t>East</t>
        </is>
      </c>
      <c r="G98" s="5" t="n">
        <v>285</v>
      </c>
      <c r="H98" s="5" t="n">
        <v>285</v>
      </c>
      <c r="I98" s="5" t="n">
        <v>285</v>
      </c>
      <c r="J98" s="5">
        <f>IF(I98=0,(G98+H98)/2,I98)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4" customWidth="1" min="3" max="3"/>
    <col width="30" customWidth="1" min="4" max="4"/>
    <col width="8" customWidth="1" min="5" max="5"/>
  </cols>
  <sheetData>
    <row r="1">
      <c r="A1" s="1" t="inlineStr">
        <is>
          <t>Average Hay Price by State — $/ton (Good-band Alfalfa)</t>
        </is>
      </c>
    </row>
    <row r="2">
      <c r="A2" s="2" t="inlineStr">
        <is>
          <t>Basis: USDA AMS Direct Hay Reports, Alfalfa graded Good / Fair-Good / Good-Premium, per ton, latest report within 8 weeks (since 07/06/2026). Generated 08/31/2026. Averages computed from the Detail tab.</t>
        </is>
      </c>
    </row>
    <row r="4">
      <c r="A4" s="3" t="inlineStr">
        <is>
          <t>State</t>
        </is>
      </c>
      <c r="B4" s="3" t="inlineStr">
        <is>
          <t>Avg Price ($/ton)</t>
        </is>
      </c>
      <c r="C4" s="3" t="inlineStr">
        <is>
          <t>Report Period</t>
        </is>
      </c>
      <c r="D4" s="3" t="inlineStr">
        <is>
          <t>Grades Used</t>
        </is>
      </c>
      <c r="E4" s="3" t="inlineStr">
        <is>
          <t># Rows</t>
        </is>
      </c>
    </row>
    <row r="5">
      <c r="A5" s="4" t="inlineStr">
        <is>
          <t>Arizona</t>
        </is>
      </c>
      <c r="B5" s="5">
        <f>AVERAGEIF(Detail!$A$5:$A$98,A5,Detail!$J$5:$J$98)</f>
        <v/>
      </c>
      <c r="C5" s="4" t="inlineStr">
        <is>
          <t>07/20/2026-07/24/2026</t>
        </is>
      </c>
      <c r="D5" s="4" t="inlineStr">
        <is>
          <t>Good/Premium</t>
        </is>
      </c>
      <c r="E5" s="6">
        <f>COUNTIF(Detail!$A$5:$A$98,A5)</f>
        <v/>
      </c>
    </row>
    <row r="6">
      <c r="A6" s="4" t="inlineStr">
        <is>
          <t>California</t>
        </is>
      </c>
      <c r="B6" s="5">
        <f>AVERAGEIF(Detail!$A$5:$A$98,A6,Detail!$J$5:$J$98)</f>
        <v/>
      </c>
      <c r="C6" s="4" t="inlineStr">
        <is>
          <t>08/24/2026-08/28/2026</t>
        </is>
      </c>
      <c r="D6" s="4" t="inlineStr">
        <is>
          <t>Fair/Good, Good</t>
        </is>
      </c>
      <c r="E6" s="6">
        <f>COUNTIF(Detail!$A$5:$A$98,A6)</f>
        <v/>
      </c>
    </row>
    <row r="7">
      <c r="A7" s="4" t="inlineStr">
        <is>
          <t>Colorado</t>
        </is>
      </c>
      <c r="B7" s="5">
        <f>AVERAGEIF(Detail!$A$5:$A$98,A7,Detail!$J$5:$J$98)</f>
        <v/>
      </c>
      <c r="C7" s="4" t="inlineStr">
        <is>
          <t>08/24/2026-08/28/2026</t>
        </is>
      </c>
      <c r="D7" s="4" t="inlineStr">
        <is>
          <t>Good/Premium</t>
        </is>
      </c>
      <c r="E7" s="6">
        <f>COUNTIF(Detail!$A$5:$A$98,A7)</f>
        <v/>
      </c>
    </row>
    <row r="8">
      <c r="A8" s="4" t="inlineStr">
        <is>
          <t>Idaho</t>
        </is>
      </c>
      <c r="B8" s="5">
        <f>AVERAGEIF(Detail!$A$5:$A$98,A8,Detail!$J$5:$J$98)</f>
        <v/>
      </c>
      <c r="C8" s="4" t="inlineStr">
        <is>
          <t>08/17/2026-08/21/2026</t>
        </is>
      </c>
      <c r="D8" s="4" t="inlineStr">
        <is>
          <t>Good</t>
        </is>
      </c>
      <c r="E8" s="6">
        <f>COUNTIF(Detail!$A$5:$A$98,A8)</f>
        <v/>
      </c>
    </row>
    <row r="9">
      <c r="A9" s="4" t="inlineStr">
        <is>
          <t>Iowa</t>
        </is>
      </c>
      <c r="B9" s="5">
        <f>AVERAGEIF(Detail!$A$5:$A$98,A9,Detail!$J$5:$J$98)</f>
        <v/>
      </c>
      <c r="C9" s="4" t="inlineStr">
        <is>
          <t>07/27/2026-07/31/2026</t>
        </is>
      </c>
      <c r="D9" s="4" t="inlineStr">
        <is>
          <t>Good</t>
        </is>
      </c>
      <c r="E9" s="6">
        <f>COUNTIF(Detail!$A$5:$A$98,A9)</f>
        <v/>
      </c>
    </row>
    <row r="10">
      <c r="A10" s="4" t="inlineStr">
        <is>
          <t>Kansas</t>
        </is>
      </c>
      <c r="B10" s="5">
        <f>AVERAGEIF(Detail!$A$5:$A$98,A10,Detail!$J$5:$J$98)</f>
        <v/>
      </c>
      <c r="C10" s="4" t="inlineStr">
        <is>
          <t>08/10/2026-08/14/2026</t>
        </is>
      </c>
      <c r="D10" s="4" t="inlineStr">
        <is>
          <t>Fair/Good, Good</t>
        </is>
      </c>
      <c r="E10" s="6">
        <f>COUNTIF(Detail!$A$5:$A$98,A10)</f>
        <v/>
      </c>
    </row>
    <row r="11">
      <c r="A11" s="4" t="inlineStr">
        <is>
          <t>Missouri</t>
        </is>
      </c>
      <c r="B11" s="5">
        <f>AVERAGEIF(Detail!$A$5:$A$98,A11,Detail!$J$5:$J$98)</f>
        <v/>
      </c>
      <c r="C11" s="4" t="inlineStr">
        <is>
          <t>08/17/2026-08/21/2026</t>
        </is>
      </c>
      <c r="D11" s="4" t="inlineStr">
        <is>
          <t>Good</t>
        </is>
      </c>
      <c r="E11" s="6">
        <f>COUNTIF(Detail!$A$5:$A$98,A11)</f>
        <v/>
      </c>
    </row>
    <row r="12">
      <c r="A12" s="4" t="inlineStr">
        <is>
          <t>Montana</t>
        </is>
      </c>
      <c r="B12" s="5">
        <f>AVERAGEIF(Detail!$A$5:$A$98,A12,Detail!$J$5:$J$98)</f>
        <v/>
      </c>
      <c r="C12" s="4" t="inlineStr">
        <is>
          <t>07/20/2026-07/24/2026</t>
        </is>
      </c>
      <c r="D12" s="4" t="inlineStr">
        <is>
          <t>Good/Premium</t>
        </is>
      </c>
      <c r="E12" s="6">
        <f>COUNTIF(Detail!$A$5:$A$98,A12)</f>
        <v/>
      </c>
    </row>
    <row r="13">
      <c r="A13" s="4" t="inlineStr">
        <is>
          <t>Nebraska</t>
        </is>
      </c>
      <c r="B13" s="5">
        <f>AVERAGEIF(Detail!$A$5:$A$98,A13,Detail!$J$5:$J$98)</f>
        <v/>
      </c>
      <c r="C13" s="4" t="inlineStr">
        <is>
          <t>08/24/2026-08/28/2026</t>
        </is>
      </c>
      <c r="D13" s="4" t="inlineStr">
        <is>
          <t>Good, Good/Premium</t>
        </is>
      </c>
      <c r="E13" s="6">
        <f>COUNTIF(Detail!$A$5:$A$98,A13)</f>
        <v/>
      </c>
    </row>
    <row r="14">
      <c r="A14" s="4" t="inlineStr">
        <is>
          <t>Nevada</t>
        </is>
      </c>
      <c r="B14" s="5">
        <f>AVERAGEIF(Detail!$A$5:$A$98,A14,Detail!$J$5:$J$98)</f>
        <v/>
      </c>
      <c r="C14" s="4" t="inlineStr">
        <is>
          <t>08/17/2026-08/21/2026</t>
        </is>
      </c>
      <c r="D14" s="4" t="inlineStr">
        <is>
          <t>Good, Good/Premium</t>
        </is>
      </c>
      <c r="E14" s="6">
        <f>COUNTIF(Detail!$A$5:$A$98,A14)</f>
        <v/>
      </c>
    </row>
    <row r="15">
      <c r="A15" s="4" t="inlineStr">
        <is>
          <t>New Mexico</t>
        </is>
      </c>
      <c r="B15" s="5">
        <f>AVERAGEIF(Detail!$A$5:$A$98,A15,Detail!$J$5:$J$98)</f>
        <v/>
      </c>
      <c r="C15" s="4" t="inlineStr">
        <is>
          <t>08/24/2026-08/28/2026</t>
        </is>
      </c>
      <c r="D15" s="4" t="inlineStr">
        <is>
          <t>Good</t>
        </is>
      </c>
      <c r="E15" s="6">
        <f>COUNTIF(Detail!$A$5:$A$98,A15)</f>
        <v/>
      </c>
    </row>
    <row r="16">
      <c r="A16" s="4" t="inlineStr">
        <is>
          <t>Oklahoma</t>
        </is>
      </c>
      <c r="B16" s="5">
        <f>AVERAGEIF(Detail!$A$5:$A$98,A16,Detail!$J$5:$J$98)</f>
        <v/>
      </c>
      <c r="C16" s="4" t="inlineStr">
        <is>
          <t>08/17/2026-08/21/2026</t>
        </is>
      </c>
      <c r="D16" s="4" t="inlineStr">
        <is>
          <t>Fair/Good, Good, Good/Premium</t>
        </is>
      </c>
      <c r="E16" s="6">
        <f>COUNTIF(Detail!$A$5:$A$98,A16)</f>
        <v/>
      </c>
    </row>
    <row r="17">
      <c r="A17" s="4" t="inlineStr">
        <is>
          <t>Oregon</t>
        </is>
      </c>
      <c r="B17" s="5">
        <f>AVERAGEIF(Detail!$A$5:$A$98,A17,Detail!$J$5:$J$98)</f>
        <v/>
      </c>
      <c r="C17" s="4" t="inlineStr">
        <is>
          <t>08/24/2026-08/28/2026</t>
        </is>
      </c>
      <c r="D17" s="4" t="inlineStr">
        <is>
          <t>Good</t>
        </is>
      </c>
      <c r="E17" s="6">
        <f>COUNTIF(Detail!$A$5:$A$98,A17)</f>
        <v/>
      </c>
    </row>
    <row r="18">
      <c r="A18" s="4" t="inlineStr">
        <is>
          <t>South Dakota</t>
        </is>
      </c>
      <c r="B18" s="5">
        <f>AVERAGEIF(Detail!$A$5:$A$98,A18,Detail!$J$5:$J$98)</f>
        <v/>
      </c>
      <c r="C18" s="4" t="inlineStr">
        <is>
          <t>07/27/2026-07/31/2026</t>
        </is>
      </c>
      <c r="D18" s="4" t="inlineStr">
        <is>
          <t>Good/Premium</t>
        </is>
      </c>
      <c r="E18" s="6">
        <f>COUNTIF(Detail!$A$5:$A$98,A18)</f>
        <v/>
      </c>
    </row>
    <row r="19">
      <c r="A19" s="4" t="inlineStr">
        <is>
          <t>Utah</t>
        </is>
      </c>
      <c r="B19" s="5">
        <f>AVERAGEIF(Detail!$A$5:$A$98,A19,Detail!$J$5:$J$98)</f>
        <v/>
      </c>
      <c r="C19" s="4" t="inlineStr">
        <is>
          <t>08/24/2026-08/28/2026</t>
        </is>
      </c>
      <c r="D19" s="4" t="inlineStr">
        <is>
          <t>Good, Good/Premium</t>
        </is>
      </c>
      <c r="E19" s="6">
        <f>COUNTIF(Detail!$A$5:$A$98,A19)</f>
        <v/>
      </c>
    </row>
    <row r="20">
      <c r="A20" s="4" t="inlineStr">
        <is>
          <t>Washington</t>
        </is>
      </c>
      <c r="B20" s="5">
        <f>AVERAGEIF(Detail!$A$5:$A$98,A20,Detail!$J$5:$J$98)</f>
        <v/>
      </c>
      <c r="C20" s="4" t="inlineStr">
        <is>
          <t>08/17/2026-08/21/2026</t>
        </is>
      </c>
      <c r="D20" s="4" t="inlineStr">
        <is>
          <t>Fair/Good, Good/Premium</t>
        </is>
      </c>
      <c r="E20" s="6">
        <f>COUNTIF(Detail!$A$5:$A$98,A20)</f>
        <v/>
      </c>
    </row>
    <row r="21">
      <c r="A21" s="4" t="inlineStr">
        <is>
          <t>Wyoming</t>
        </is>
      </c>
      <c r="B21" s="5">
        <f>AVERAGEIF(Detail!$A$5:$A$98,A21,Detail!$J$5:$J$98)</f>
        <v/>
      </c>
      <c r="C21" s="4" t="inlineStr">
        <is>
          <t>08/17/2026-08/21/2026</t>
        </is>
      </c>
      <c r="D21" s="4" t="inlineStr">
        <is>
          <t>Fair/Good, Good, Good/Premium</t>
        </is>
      </c>
      <c r="E21" s="6">
        <f>COUNTIF(Detail!$A$5:$A$98,A21)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7" t="inlineStr">
        <is>
          <t>State (dropdown source)</t>
        </is>
      </c>
    </row>
    <row r="2">
      <c r="A2" s="8" t="inlineStr">
        <is>
          <t>Alabama</t>
        </is>
      </c>
    </row>
    <row r="3">
      <c r="A3" s="8" t="inlineStr">
        <is>
          <t>Alaska</t>
        </is>
      </c>
    </row>
    <row r="4">
      <c r="A4" s="8" t="inlineStr">
        <is>
          <t>Arizona</t>
        </is>
      </c>
    </row>
    <row r="5">
      <c r="A5" s="8" t="inlineStr">
        <is>
          <t>Arkansas</t>
        </is>
      </c>
    </row>
    <row r="6">
      <c r="A6" s="8" t="inlineStr">
        <is>
          <t>California</t>
        </is>
      </c>
    </row>
    <row r="7">
      <c r="A7" s="8" t="inlineStr">
        <is>
          <t>Colorado</t>
        </is>
      </c>
    </row>
    <row r="8">
      <c r="A8" s="8" t="inlineStr">
        <is>
          <t>Connecticut</t>
        </is>
      </c>
    </row>
    <row r="9">
      <c r="A9" s="8" t="inlineStr">
        <is>
          <t>Delaware</t>
        </is>
      </c>
    </row>
    <row r="10">
      <c r="A10" s="8" t="inlineStr">
        <is>
          <t>District of Columbia</t>
        </is>
      </c>
    </row>
    <row r="11">
      <c r="A11" s="8" t="inlineStr">
        <is>
          <t>Florida</t>
        </is>
      </c>
    </row>
    <row r="12">
      <c r="A12" s="8" t="inlineStr">
        <is>
          <t>Georgia</t>
        </is>
      </c>
    </row>
    <row r="13">
      <c r="A13" s="8" t="inlineStr">
        <is>
          <t>Hawaii</t>
        </is>
      </c>
    </row>
    <row r="14">
      <c r="A14" s="8" t="inlineStr">
        <is>
          <t>Idaho</t>
        </is>
      </c>
    </row>
    <row r="15">
      <c r="A15" s="8" t="inlineStr">
        <is>
          <t>Illinois</t>
        </is>
      </c>
    </row>
    <row r="16">
      <c r="A16" s="8" t="inlineStr">
        <is>
          <t>Indiana</t>
        </is>
      </c>
    </row>
    <row r="17">
      <c r="A17" s="8" t="inlineStr">
        <is>
          <t>Iowa</t>
        </is>
      </c>
    </row>
    <row r="18">
      <c r="A18" s="8" t="inlineStr">
        <is>
          <t>Kansas</t>
        </is>
      </c>
    </row>
    <row r="19">
      <c r="A19" s="8" t="inlineStr">
        <is>
          <t>Kentucky</t>
        </is>
      </c>
    </row>
    <row r="20">
      <c r="A20" s="8" t="inlineStr">
        <is>
          <t>Louisiana</t>
        </is>
      </c>
    </row>
    <row r="21">
      <c r="A21" s="8" t="inlineStr">
        <is>
          <t>Maine</t>
        </is>
      </c>
    </row>
    <row r="22">
      <c r="A22" s="8" t="inlineStr">
        <is>
          <t>Maryland</t>
        </is>
      </c>
    </row>
    <row r="23">
      <c r="A23" s="8" t="inlineStr">
        <is>
          <t>Massachusetts</t>
        </is>
      </c>
    </row>
    <row r="24">
      <c r="A24" s="8" t="inlineStr">
        <is>
          <t>Michigan</t>
        </is>
      </c>
    </row>
    <row r="25">
      <c r="A25" s="8" t="inlineStr">
        <is>
          <t>Minnesota</t>
        </is>
      </c>
    </row>
    <row r="26">
      <c r="A26" s="8" t="inlineStr">
        <is>
          <t>Mississippi</t>
        </is>
      </c>
    </row>
    <row r="27">
      <c r="A27" s="8" t="inlineStr">
        <is>
          <t>Missouri</t>
        </is>
      </c>
    </row>
    <row r="28">
      <c r="A28" s="8" t="inlineStr">
        <is>
          <t>Montana</t>
        </is>
      </c>
    </row>
    <row r="29">
      <c r="A29" s="8" t="inlineStr">
        <is>
          <t>Nebraska</t>
        </is>
      </c>
    </row>
    <row r="30">
      <c r="A30" s="8" t="inlineStr">
        <is>
          <t>Nevada</t>
        </is>
      </c>
    </row>
    <row r="31">
      <c r="A31" s="8" t="inlineStr">
        <is>
          <t>New Hampshire</t>
        </is>
      </c>
    </row>
    <row r="32">
      <c r="A32" s="8" t="inlineStr">
        <is>
          <t>New Jersey</t>
        </is>
      </c>
    </row>
    <row r="33">
      <c r="A33" s="8" t="inlineStr">
        <is>
          <t>New Mexico</t>
        </is>
      </c>
    </row>
    <row r="34">
      <c r="A34" s="8" t="inlineStr">
        <is>
          <t>New York</t>
        </is>
      </c>
    </row>
    <row r="35">
      <c r="A35" s="8" t="inlineStr">
        <is>
          <t>North Carolina</t>
        </is>
      </c>
    </row>
    <row r="36">
      <c r="A36" s="8" t="inlineStr">
        <is>
          <t>North Dakota</t>
        </is>
      </c>
    </row>
    <row r="37">
      <c r="A37" s="8" t="inlineStr">
        <is>
          <t>Ohio</t>
        </is>
      </c>
    </row>
    <row r="38">
      <c r="A38" s="8" t="inlineStr">
        <is>
          <t>Oklahoma</t>
        </is>
      </c>
    </row>
    <row r="39">
      <c r="A39" s="8" t="inlineStr">
        <is>
          <t>Oregon</t>
        </is>
      </c>
    </row>
    <row r="40">
      <c r="A40" s="8" t="inlineStr">
        <is>
          <t>Pennsylvania</t>
        </is>
      </c>
    </row>
    <row r="41">
      <c r="A41" s="8" t="inlineStr">
        <is>
          <t>Rhode Island</t>
        </is>
      </c>
    </row>
    <row r="42">
      <c r="A42" s="8" t="inlineStr">
        <is>
          <t>South Carolina</t>
        </is>
      </c>
    </row>
    <row r="43">
      <c r="A43" s="8" t="inlineStr">
        <is>
          <t>South Dakota</t>
        </is>
      </c>
    </row>
    <row r="44">
      <c r="A44" s="8" t="inlineStr">
        <is>
          <t>Tennessee</t>
        </is>
      </c>
    </row>
    <row r="45">
      <c r="A45" s="8" t="inlineStr">
        <is>
          <t>Texas</t>
        </is>
      </c>
    </row>
    <row r="46">
      <c r="A46" s="8" t="inlineStr">
        <is>
          <t>Utah</t>
        </is>
      </c>
    </row>
    <row r="47">
      <c r="A47" s="8" t="inlineStr">
        <is>
          <t>Vermont</t>
        </is>
      </c>
    </row>
    <row r="48">
      <c r="A48" s="8" t="inlineStr">
        <is>
          <t>Virginia</t>
        </is>
      </c>
    </row>
    <row r="49">
      <c r="A49" s="8" t="inlineStr">
        <is>
          <t>Washington</t>
        </is>
      </c>
    </row>
    <row r="50">
      <c r="A50" s="8" t="inlineStr">
        <is>
          <t>West Virginia</t>
        </is>
      </c>
    </row>
    <row r="51">
      <c r="A51" s="8" t="inlineStr">
        <is>
          <t>Wisconsin</t>
        </is>
      </c>
    </row>
    <row r="52">
      <c r="A52" s="8" t="inlineStr">
        <is>
          <t>Wyoming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40" customWidth="1" min="3" max="3"/>
  </cols>
  <sheetData>
    <row r="1">
      <c r="A1" s="1" t="inlineStr">
        <is>
          <t>Hay Price Lookup</t>
        </is>
      </c>
    </row>
    <row r="3">
      <c r="A3" s="2" t="inlineStr">
        <is>
          <t>Pick a State (yellow cell). Average hay price auto-populates (green). County dropdown to be added later.</t>
        </is>
      </c>
    </row>
    <row r="5">
      <c r="A5" s="7" t="inlineStr">
        <is>
          <t>State:</t>
        </is>
      </c>
      <c r="B5" s="9" t="inlineStr">
        <is>
          <t>Nebraska</t>
        </is>
      </c>
    </row>
    <row r="6">
      <c r="A6" s="7" t="inlineStr">
        <is>
          <t>County:</t>
        </is>
      </c>
      <c r="B6" s="9" t="inlineStr"/>
      <c r="C6" s="2" t="inlineStr">
        <is>
          <t>(does not affect hay price — state-level basis)</t>
        </is>
      </c>
    </row>
    <row r="8">
      <c r="A8" s="7" t="inlineStr">
        <is>
          <t>Average Hay Price ($/ton):</t>
        </is>
      </c>
      <c r="B8" s="10">
        <f>IF($B$5="","",IFERROR(INDEX(HayData!$B$5:$B$21,MATCH($B$5,HayData!$A$5:$A$21,0)),"no hay price data available for "&amp;$B$5&amp;", manual entry required"))</f>
        <v/>
      </c>
    </row>
    <row r="9">
      <c r="A9" s="7" t="inlineStr">
        <is>
          <t>Report Period:</t>
        </is>
      </c>
      <c r="B9" s="6">
        <f>IF($B$5="","",IFERROR(INDEX(HayData!$C$5:$C$21,MATCH($B$5,HayData!$A$5:$A$21,0)),""))</f>
        <v/>
      </c>
    </row>
    <row r="10">
      <c r="A10" s="7" t="inlineStr">
        <is>
          <t>Grades Used:</t>
        </is>
      </c>
      <c r="B10" s="6">
        <f>IF($B$5="","",IFERROR(INDEX(HayData!$D$5:$D$21,MATCH($B$5,HayData!$A$5:$A$21,0)),""))</f>
        <v/>
      </c>
    </row>
  </sheetData>
  <dataValidations count="1">
    <dataValidation sqref="B5" showDropDown="0" showInputMessage="0" showErrorMessage="0" allowBlank="1" prompt="Select a state" type="list">
      <formula1>=Lists!$A$2:$A$52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Hay Price Lookup — Data Notes</t>
        </is>
      </c>
    </row>
    <row r="2">
      <c r="A2" s="8" t="inlineStr"/>
    </row>
    <row r="3">
      <c r="A3" s="8" t="inlineStr">
        <is>
          <t>Generated: 08/31/2026</t>
        </is>
      </c>
    </row>
    <row r="4">
      <c r="A4" s="8" t="inlineStr">
        <is>
          <t>Source: USDA AMS Livestock, Poultry &amp; Grain Market News — state Direct Hay Reports (via MARS API).</t>
        </is>
      </c>
    </row>
    <row r="5">
      <c r="A5" s="8" t="inlineStr"/>
    </row>
    <row r="6">
      <c r="A6" s="8" t="inlineStr">
        <is>
          <t>Basis: Alfalfa hay, grades Good / Fair-Good / Good-Premium, priced Per Ton.</t>
        </is>
      </c>
    </row>
    <row r="7">
      <c r="A7" s="8" t="inlineStr">
        <is>
          <t>For each state, the most recent report within an 8-week freshness window is used;</t>
        </is>
      </c>
    </row>
    <row r="8">
      <c r="A8" s="8" t="inlineStr">
        <is>
          <t>all qualifying per-ton rows (across regions/grades) are averaged into one $/ton figure.</t>
        </is>
      </c>
    </row>
    <row r="9">
      <c r="A9" s="8" t="inlineStr">
        <is>
          <t>Rows with no established trade (reported weighted avg = 0) use the midpoint of the price range.</t>
        </is>
      </c>
    </row>
    <row r="10">
      <c r="A10" s="8" t="inlineStr"/>
    </row>
    <row r="11">
      <c r="A11" s="8" t="inlineStr">
        <is>
          <t>Coverage: 17 of 21 states that publish Direct Hay Reports.</t>
        </is>
      </c>
    </row>
    <row r="12">
      <c r="A12" s="8" t="inlineStr">
        <is>
          <t>No per-ton data (return manual-entry message): Alabama, Kentucky, Tennessee report only</t>
        </is>
      </c>
    </row>
    <row r="13">
      <c r="A13" s="8" t="inlineStr">
        <is>
          <t>per-bale prices; Texas had no Good-band alfalfa per-ton row within the 8-week window.</t>
        </is>
      </c>
    </row>
    <row r="14">
      <c r="A14" s="8" t="inlineStr">
        <is>
          <t>All other U.S. states have no USDA Direct Hay Report and return the manual-entry message.</t>
        </is>
      </c>
    </row>
    <row r="15">
      <c r="A15" s="8" t="inlineStr"/>
    </row>
    <row r="16">
      <c r="A16" s="8" t="inlineStr">
        <is>
          <t>Washington figure is sourced from the Washington-Oregon (Columbia Basin) Direct Hay Report.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2026-08-31T21:34:25Z</dcterms:created>
  <dcterms:modified xsi:type="dcterms:W3CDTF">2026-08-31T21:34:25Z</dcterms:modified>
</cp:coreProperties>
</file>